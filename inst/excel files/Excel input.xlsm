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URTIS\OneDrive - Department for Education\Documents\Projects\Blockbuster2\inst\excel files\"/>
    </mc:Choice>
  </mc:AlternateContent>
  <bookViews>
    <workbookView xWindow="0" yWindow="0" windowWidth="22440" windowHeight="10380"/>
  </bookViews>
  <sheets>
    <sheet name="Instructions" sheetId="1" r:id="rId1"/>
    <sheet name="Model" sheetId="5" r:id="rId2"/>
    <sheet name="Inputs" sheetId="3" r:id="rId3"/>
    <sheet name="Deterioration rates" sheetId="2" r:id="rId4"/>
    <sheet name="Repair costs" sheetId="4" r:id="rId5"/>
  </sheets>
  <definedNames>
    <definedName name="TextBox_output">Instructions!$C$1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4" l="1"/>
  <c r="AO3" i="4"/>
  <c r="AP3" i="4"/>
  <c r="AQ3" i="4"/>
  <c r="AN4" i="4"/>
  <c r="AO4" i="4"/>
  <c r="AP4" i="4"/>
  <c r="AQ4" i="4"/>
  <c r="AN5" i="4"/>
  <c r="AO5" i="4"/>
  <c r="AP5" i="4"/>
  <c r="AQ5" i="4"/>
  <c r="AN6" i="4"/>
  <c r="AO6" i="4"/>
  <c r="AP6" i="4"/>
  <c r="AQ6" i="4"/>
  <c r="AN7" i="4"/>
  <c r="AO7" i="4"/>
  <c r="AP7" i="4"/>
  <c r="AQ7" i="4"/>
  <c r="AN8" i="4"/>
  <c r="AO8" i="4"/>
  <c r="AP8" i="4"/>
  <c r="AQ8" i="4"/>
  <c r="AN9" i="4"/>
  <c r="AO9" i="4"/>
  <c r="AP9" i="4"/>
  <c r="AQ9" i="4"/>
  <c r="AN10" i="4"/>
  <c r="AO10" i="4"/>
  <c r="AP10" i="4"/>
  <c r="AQ10" i="4"/>
  <c r="AN11" i="4"/>
  <c r="AO11" i="4"/>
  <c r="AP11" i="4"/>
  <c r="AQ11" i="4"/>
  <c r="AN12" i="4"/>
  <c r="AO12" i="4"/>
  <c r="AP12" i="4"/>
  <c r="AQ12" i="4"/>
  <c r="AN13" i="4"/>
  <c r="AO13" i="4"/>
  <c r="AP13" i="4"/>
  <c r="AQ13" i="4"/>
  <c r="AN14" i="4"/>
  <c r="AO14" i="4"/>
  <c r="AP14" i="4"/>
  <c r="AQ14" i="4"/>
  <c r="AN15" i="4"/>
  <c r="AO15" i="4"/>
  <c r="AP15" i="4"/>
  <c r="AQ15" i="4"/>
  <c r="AN16" i="4"/>
  <c r="AO16" i="4"/>
  <c r="AP16" i="4"/>
  <c r="AQ16" i="4"/>
  <c r="AN17" i="4"/>
  <c r="AO17" i="4"/>
  <c r="AP17" i="4"/>
  <c r="AQ17" i="4"/>
  <c r="AN18" i="4"/>
  <c r="AO18" i="4"/>
  <c r="AP18" i="4"/>
  <c r="AQ18" i="4"/>
  <c r="AN19" i="4"/>
  <c r="AO19" i="4"/>
  <c r="AP19" i="4"/>
  <c r="AQ19" i="4"/>
  <c r="AN20" i="4"/>
  <c r="AO20" i="4"/>
  <c r="AP20" i="4"/>
  <c r="AQ20" i="4"/>
  <c r="AN21" i="4"/>
  <c r="AO21" i="4"/>
  <c r="AP21" i="4"/>
  <c r="AQ21" i="4"/>
  <c r="AN22" i="4"/>
  <c r="AO22" i="4"/>
  <c r="AP22" i="4"/>
  <c r="AQ22" i="4"/>
  <c r="AN23" i="4"/>
  <c r="AO23" i="4"/>
  <c r="AP23" i="4"/>
  <c r="AQ23" i="4"/>
  <c r="AN24" i="4"/>
  <c r="AO24" i="4"/>
  <c r="AP24" i="4"/>
  <c r="AQ24" i="4"/>
  <c r="AN25" i="4"/>
  <c r="AO25" i="4"/>
  <c r="AP25" i="4"/>
  <c r="AQ25" i="4"/>
  <c r="AN26" i="4"/>
  <c r="AO26" i="4"/>
  <c r="AP26" i="4"/>
  <c r="AQ26" i="4"/>
  <c r="AN27" i="4"/>
  <c r="AO27" i="4"/>
  <c r="AP27" i="4"/>
  <c r="AQ27" i="4"/>
  <c r="AN28" i="4"/>
  <c r="AO28" i="4"/>
  <c r="AP28" i="4"/>
  <c r="AQ28" i="4"/>
  <c r="AN29" i="4"/>
  <c r="AO29" i="4"/>
  <c r="AP29" i="4"/>
  <c r="AQ29" i="4"/>
  <c r="AN30" i="4"/>
  <c r="AO30" i="4"/>
  <c r="AP30" i="4"/>
  <c r="AQ30" i="4"/>
  <c r="AN31" i="4"/>
  <c r="AO31" i="4"/>
  <c r="AP31" i="4"/>
  <c r="AQ31" i="4"/>
  <c r="AN32" i="4"/>
  <c r="AO32" i="4"/>
  <c r="AP32" i="4"/>
  <c r="AQ32" i="4"/>
  <c r="AN33" i="4"/>
  <c r="AO33" i="4"/>
  <c r="AP33" i="4"/>
  <c r="AQ33" i="4"/>
  <c r="AN34" i="4"/>
  <c r="AO34" i="4"/>
  <c r="AP34" i="4"/>
  <c r="AQ34" i="4"/>
  <c r="AN35" i="4"/>
  <c r="AO35" i="4"/>
  <c r="AP35" i="4"/>
  <c r="AQ35" i="4"/>
  <c r="AN36" i="4"/>
  <c r="AO36" i="4"/>
  <c r="AP36" i="4"/>
  <c r="AQ36" i="4"/>
  <c r="AN37" i="4"/>
  <c r="AO37" i="4"/>
  <c r="AP37" i="4"/>
  <c r="AQ37" i="4"/>
  <c r="AN38" i="4"/>
  <c r="AO38" i="4"/>
  <c r="AP38" i="4"/>
  <c r="AQ38" i="4"/>
  <c r="AN39" i="4"/>
  <c r="AO39" i="4"/>
  <c r="AP39" i="4"/>
  <c r="AQ39" i="4"/>
  <c r="AN40" i="4"/>
  <c r="AO40" i="4"/>
  <c r="AP40" i="4"/>
  <c r="AQ40" i="4"/>
  <c r="AN41" i="4"/>
  <c r="AO41" i="4"/>
  <c r="AP41" i="4"/>
  <c r="AQ41" i="4"/>
  <c r="AN42" i="4"/>
  <c r="AO42" i="4"/>
  <c r="AP42" i="4"/>
  <c r="AQ42" i="4"/>
  <c r="AN43" i="4"/>
  <c r="AO43" i="4"/>
  <c r="AP43" i="4"/>
  <c r="AQ43" i="4"/>
  <c r="AN44" i="4"/>
  <c r="AO44" i="4"/>
  <c r="AP44" i="4"/>
  <c r="AQ44" i="4"/>
  <c r="AN45" i="4"/>
  <c r="AO45" i="4"/>
  <c r="AP45" i="4"/>
  <c r="AQ45" i="4"/>
  <c r="AN46" i="4"/>
  <c r="AO46" i="4"/>
  <c r="AP46" i="4"/>
  <c r="AQ46" i="4"/>
  <c r="AN47" i="4"/>
  <c r="AO47" i="4"/>
  <c r="AP47" i="4"/>
  <c r="AQ47" i="4"/>
  <c r="AN48" i="4"/>
  <c r="AO48" i="4"/>
  <c r="AP48" i="4"/>
  <c r="AQ48" i="4"/>
  <c r="AN49" i="4"/>
  <c r="AO49" i="4"/>
  <c r="AP49" i="4"/>
  <c r="AQ49" i="4"/>
  <c r="AN50" i="4"/>
  <c r="AO50" i="4"/>
  <c r="AP50" i="4"/>
  <c r="AQ50" i="4"/>
  <c r="AN51" i="4"/>
  <c r="AO51" i="4"/>
  <c r="AP51" i="4"/>
  <c r="AQ51" i="4"/>
  <c r="AN52" i="4"/>
  <c r="AO52" i="4"/>
  <c r="AP52" i="4"/>
  <c r="AQ52" i="4"/>
  <c r="AN53" i="4"/>
  <c r="AO53" i="4"/>
  <c r="AP53" i="4"/>
  <c r="AQ53" i="4"/>
  <c r="AN54" i="4"/>
  <c r="AO54" i="4"/>
  <c r="AP54" i="4"/>
  <c r="AQ54" i="4"/>
  <c r="AN55" i="4"/>
  <c r="AO55" i="4"/>
  <c r="AP55" i="4"/>
  <c r="AQ55" i="4"/>
  <c r="AN56" i="4"/>
  <c r="AO56" i="4"/>
  <c r="AP56" i="4"/>
  <c r="AQ56" i="4"/>
  <c r="AN57" i="4"/>
  <c r="AO57" i="4"/>
  <c r="AP57" i="4"/>
  <c r="AQ57" i="4"/>
  <c r="AN58" i="4"/>
  <c r="AO58" i="4"/>
  <c r="AP58" i="4"/>
  <c r="AQ58" i="4"/>
  <c r="AN59" i="4"/>
  <c r="AO59" i="4"/>
  <c r="AP59" i="4"/>
  <c r="AQ59" i="4"/>
  <c r="AN60" i="4"/>
  <c r="AO60" i="4"/>
  <c r="AP60" i="4"/>
  <c r="AQ60" i="4"/>
  <c r="AN61" i="4"/>
  <c r="AO61" i="4"/>
  <c r="AP61" i="4"/>
  <c r="AQ61" i="4"/>
  <c r="AN62" i="4"/>
  <c r="AO62" i="4"/>
  <c r="AP62" i="4"/>
  <c r="AQ62" i="4"/>
  <c r="AN63" i="4"/>
  <c r="AO63" i="4"/>
  <c r="AP63" i="4"/>
  <c r="AQ63" i="4"/>
  <c r="AN64" i="4"/>
  <c r="AO64" i="4"/>
  <c r="AP64" i="4"/>
  <c r="AQ64" i="4"/>
  <c r="AN65" i="4"/>
  <c r="AO65" i="4"/>
  <c r="AP65" i="4"/>
  <c r="AQ65" i="4"/>
  <c r="AN66" i="4"/>
  <c r="AO66" i="4"/>
  <c r="AP66" i="4"/>
  <c r="AQ66" i="4"/>
  <c r="AN67" i="4"/>
  <c r="AO67" i="4"/>
  <c r="AP67" i="4"/>
  <c r="AQ67" i="4"/>
  <c r="AN68" i="4"/>
  <c r="AO68" i="4"/>
  <c r="AP68" i="4"/>
  <c r="AQ68" i="4"/>
  <c r="AN69" i="4"/>
  <c r="AO69" i="4"/>
  <c r="AP69" i="4"/>
  <c r="AQ69" i="4"/>
  <c r="AN70" i="4"/>
  <c r="AO70" i="4"/>
  <c r="AP70" i="4"/>
  <c r="AQ70" i="4"/>
  <c r="AN71" i="4"/>
  <c r="AO71" i="4"/>
  <c r="AP71" i="4"/>
  <c r="AQ71" i="4"/>
  <c r="AN72" i="4"/>
  <c r="AO72" i="4"/>
  <c r="AP72" i="4"/>
  <c r="AQ72" i="4"/>
  <c r="AN73" i="4"/>
  <c r="AO73" i="4"/>
  <c r="AP73" i="4"/>
  <c r="AQ73" i="4"/>
  <c r="AN74" i="4"/>
  <c r="AO74" i="4"/>
  <c r="AP74" i="4"/>
  <c r="AQ74" i="4"/>
  <c r="AN75" i="4"/>
  <c r="AO75" i="4"/>
  <c r="AP75" i="4"/>
  <c r="AQ75" i="4"/>
  <c r="AN76" i="4"/>
  <c r="AO76" i="4"/>
  <c r="AP76" i="4"/>
  <c r="AQ76" i="4"/>
  <c r="AN77" i="4"/>
  <c r="AO77" i="4"/>
  <c r="AP77" i="4"/>
  <c r="AQ77" i="4"/>
  <c r="AN78" i="4"/>
  <c r="AO78" i="4"/>
  <c r="AP78" i="4"/>
  <c r="AQ78" i="4"/>
  <c r="AN79" i="4"/>
  <c r="AO79" i="4"/>
  <c r="AP79" i="4"/>
  <c r="AQ79" i="4"/>
  <c r="AN80" i="4"/>
  <c r="AO80" i="4"/>
  <c r="AP80" i="4"/>
  <c r="AQ80" i="4"/>
  <c r="AN81" i="4"/>
  <c r="AO81" i="4"/>
  <c r="AP81" i="4"/>
  <c r="AQ81" i="4"/>
  <c r="AN82" i="4"/>
  <c r="AO82" i="4"/>
  <c r="AP82" i="4"/>
  <c r="AQ82" i="4"/>
  <c r="AN83" i="4"/>
  <c r="AO83" i="4"/>
  <c r="AP83" i="4"/>
  <c r="AQ83" i="4"/>
  <c r="AN84" i="4"/>
  <c r="AO84" i="4"/>
  <c r="AP84" i="4"/>
  <c r="AQ84" i="4"/>
  <c r="AN85" i="4"/>
  <c r="AO85" i="4"/>
  <c r="AP85" i="4"/>
  <c r="AQ85" i="4"/>
  <c r="AN86" i="4"/>
  <c r="AO86" i="4"/>
  <c r="AP86" i="4"/>
  <c r="AQ86" i="4"/>
  <c r="AN87" i="4"/>
  <c r="AO87" i="4"/>
  <c r="AP87" i="4"/>
  <c r="AQ87" i="4"/>
  <c r="AN88" i="4"/>
  <c r="AO88" i="4"/>
  <c r="AP88" i="4"/>
  <c r="AQ88" i="4"/>
  <c r="AN89" i="4"/>
  <c r="AO89" i="4"/>
  <c r="AP89" i="4"/>
  <c r="AQ89" i="4"/>
  <c r="AN90" i="4"/>
  <c r="AO90" i="4"/>
  <c r="AP90" i="4"/>
  <c r="AQ90" i="4"/>
  <c r="AN91" i="4"/>
  <c r="AO91" i="4"/>
  <c r="AP91" i="4"/>
  <c r="AQ91" i="4"/>
  <c r="AN92" i="4"/>
  <c r="AO92" i="4"/>
  <c r="AP92" i="4"/>
  <c r="AQ92" i="4"/>
  <c r="AN93" i="4"/>
  <c r="AO93" i="4"/>
  <c r="AP93" i="4"/>
  <c r="AQ93" i="4"/>
  <c r="AN94" i="4"/>
  <c r="AO94" i="4"/>
  <c r="AP94" i="4"/>
  <c r="AQ94" i="4"/>
  <c r="AN95" i="4"/>
  <c r="AO95" i="4"/>
  <c r="AP95" i="4"/>
  <c r="AQ95" i="4"/>
  <c r="AN96" i="4"/>
  <c r="AO96" i="4"/>
  <c r="AP96" i="4"/>
  <c r="AQ96" i="4"/>
  <c r="AN97" i="4"/>
  <c r="AO97" i="4"/>
  <c r="AP97" i="4"/>
  <c r="AQ97" i="4"/>
  <c r="AN98" i="4"/>
  <c r="AO98" i="4"/>
  <c r="AP98" i="4"/>
  <c r="AQ98" i="4"/>
  <c r="AN99" i="4"/>
  <c r="AO99" i="4"/>
  <c r="AP99" i="4"/>
  <c r="AQ99" i="4"/>
  <c r="AN100" i="4"/>
  <c r="AO100" i="4"/>
  <c r="AP100" i="4"/>
  <c r="AQ100" i="4"/>
  <c r="AN101" i="4"/>
  <c r="AO101" i="4"/>
  <c r="AP101" i="4"/>
  <c r="AQ101" i="4"/>
  <c r="AN102" i="4"/>
  <c r="AO102" i="4"/>
  <c r="AP102" i="4"/>
  <c r="AQ102" i="4"/>
  <c r="AN103" i="4"/>
  <c r="AO103" i="4"/>
  <c r="AP103" i="4"/>
  <c r="AQ103" i="4"/>
  <c r="AN104" i="4"/>
  <c r="AO104" i="4"/>
  <c r="AP104" i="4"/>
  <c r="AQ104" i="4"/>
  <c r="AN105" i="4"/>
  <c r="AO105" i="4"/>
  <c r="AP105" i="4"/>
  <c r="AQ105" i="4"/>
  <c r="AN106" i="4"/>
  <c r="AO106" i="4"/>
  <c r="AP106" i="4"/>
  <c r="AQ106" i="4"/>
  <c r="AN107" i="4"/>
  <c r="AO107" i="4"/>
  <c r="AP107" i="4"/>
  <c r="AQ107" i="4"/>
  <c r="AN108" i="4"/>
  <c r="AO108" i="4"/>
  <c r="AP108" i="4"/>
  <c r="AQ108" i="4"/>
  <c r="AN109" i="4"/>
  <c r="AO109" i="4"/>
  <c r="AP109" i="4"/>
  <c r="AQ109" i="4"/>
  <c r="AN110" i="4"/>
  <c r="AO110" i="4"/>
  <c r="AP110" i="4"/>
  <c r="AQ110" i="4"/>
  <c r="AN111" i="4"/>
  <c r="AO111" i="4"/>
  <c r="AP111" i="4"/>
  <c r="AQ111" i="4"/>
  <c r="AN112" i="4"/>
  <c r="AO112" i="4"/>
  <c r="AP112" i="4"/>
  <c r="AQ112" i="4"/>
  <c r="AN113" i="4"/>
  <c r="AO113" i="4"/>
  <c r="AP113" i="4"/>
  <c r="AQ113" i="4"/>
  <c r="AN114" i="4"/>
  <c r="AO114" i="4"/>
  <c r="AP114" i="4"/>
  <c r="AQ114" i="4"/>
  <c r="AN115" i="4"/>
  <c r="AO115" i="4"/>
  <c r="AP115" i="4"/>
  <c r="AQ115" i="4"/>
  <c r="AN116" i="4"/>
  <c r="AO116" i="4"/>
  <c r="AP116" i="4"/>
  <c r="AQ116" i="4"/>
  <c r="AN117" i="4"/>
  <c r="AO117" i="4"/>
  <c r="AP117" i="4"/>
  <c r="AQ117" i="4"/>
  <c r="AN118" i="4"/>
  <c r="AO118" i="4"/>
  <c r="AP118" i="4"/>
  <c r="AQ118" i="4"/>
  <c r="AN119" i="4"/>
  <c r="AO119" i="4"/>
  <c r="AP119" i="4"/>
  <c r="AQ119" i="4"/>
  <c r="AN120" i="4"/>
  <c r="AO120" i="4"/>
  <c r="AP120" i="4"/>
  <c r="AQ120" i="4"/>
  <c r="AN121" i="4"/>
  <c r="AO121" i="4"/>
  <c r="AP121" i="4"/>
  <c r="AQ121" i="4"/>
  <c r="AN122" i="4"/>
  <c r="AO122" i="4"/>
  <c r="AP122" i="4"/>
  <c r="AQ122" i="4"/>
  <c r="AN123" i="4"/>
  <c r="AO123" i="4"/>
  <c r="AP123" i="4"/>
  <c r="AQ123" i="4"/>
  <c r="AN124" i="4"/>
  <c r="AO124" i="4"/>
  <c r="AP124" i="4"/>
  <c r="AQ124" i="4"/>
  <c r="AN125" i="4"/>
  <c r="AO125" i="4"/>
  <c r="AP125" i="4"/>
  <c r="AQ125" i="4"/>
  <c r="AN126" i="4"/>
  <c r="AO126" i="4"/>
  <c r="AP126" i="4"/>
  <c r="AQ126" i="4"/>
  <c r="AN127" i="4"/>
  <c r="AO127" i="4"/>
  <c r="AP127" i="4"/>
  <c r="AQ127" i="4"/>
  <c r="AN128" i="4"/>
  <c r="AO128" i="4"/>
  <c r="AP128" i="4"/>
  <c r="AQ128" i="4"/>
  <c r="AN129" i="4"/>
  <c r="AO129" i="4"/>
  <c r="AP129" i="4"/>
  <c r="AQ129" i="4"/>
  <c r="AO2" i="4"/>
  <c r="AP2" i="4"/>
  <c r="AQ2" i="4"/>
  <c r="AN2" i="4"/>
  <c r="C3" i="3" l="1"/>
  <c r="C2" i="3"/>
  <c r="AG3" i="4" l="1"/>
  <c r="AH3" i="4"/>
  <c r="AI3" i="4"/>
  <c r="AJ3" i="4"/>
  <c r="AG4" i="4"/>
  <c r="AH4" i="4"/>
  <c r="AI4" i="4"/>
  <c r="AJ4" i="4"/>
  <c r="AG5" i="4"/>
  <c r="AH5" i="4"/>
  <c r="AI5" i="4"/>
  <c r="AJ5" i="4"/>
  <c r="AG6" i="4"/>
  <c r="AH6" i="4"/>
  <c r="AI6" i="4"/>
  <c r="AJ6" i="4"/>
  <c r="AG7" i="4"/>
  <c r="AH7" i="4"/>
  <c r="AI7" i="4"/>
  <c r="AJ7" i="4"/>
  <c r="AG8" i="4"/>
  <c r="AH8" i="4"/>
  <c r="AI8" i="4"/>
  <c r="AJ8" i="4"/>
  <c r="AG9" i="4"/>
  <c r="AH9" i="4"/>
  <c r="AI9" i="4"/>
  <c r="AJ9" i="4"/>
  <c r="AG10" i="4"/>
  <c r="AH10" i="4"/>
  <c r="AI10" i="4"/>
  <c r="AJ10" i="4"/>
  <c r="AG11" i="4"/>
  <c r="AH11" i="4"/>
  <c r="AI11" i="4"/>
  <c r="AJ11" i="4"/>
  <c r="AG12" i="4"/>
  <c r="AH12" i="4"/>
  <c r="AI12" i="4"/>
  <c r="AJ12" i="4"/>
  <c r="AG13" i="4"/>
  <c r="AH13" i="4"/>
  <c r="AI13" i="4"/>
  <c r="AJ13" i="4"/>
  <c r="AG14" i="4"/>
  <c r="AH14" i="4"/>
  <c r="AI14" i="4"/>
  <c r="AJ14" i="4"/>
  <c r="AG15" i="4"/>
  <c r="AH15" i="4"/>
  <c r="AI15" i="4"/>
  <c r="AJ15" i="4"/>
  <c r="AG16" i="4"/>
  <c r="AH16" i="4"/>
  <c r="AI16" i="4"/>
  <c r="AJ16" i="4"/>
  <c r="AG17" i="4"/>
  <c r="AH17" i="4"/>
  <c r="AI17" i="4"/>
  <c r="AJ17" i="4"/>
  <c r="AG18" i="4"/>
  <c r="AH18" i="4"/>
  <c r="AI18" i="4"/>
  <c r="AJ18" i="4"/>
  <c r="AG19" i="4"/>
  <c r="AH19" i="4"/>
  <c r="AI19" i="4"/>
  <c r="AJ19" i="4"/>
  <c r="AG20" i="4"/>
  <c r="AH20" i="4"/>
  <c r="AI20" i="4"/>
  <c r="AJ20" i="4"/>
  <c r="AG21" i="4"/>
  <c r="AH21" i="4"/>
  <c r="AI21" i="4"/>
  <c r="AJ21" i="4"/>
  <c r="AG22" i="4"/>
  <c r="AH22" i="4"/>
  <c r="AI22" i="4"/>
  <c r="AJ22" i="4"/>
  <c r="AG23" i="4"/>
  <c r="AH23" i="4"/>
  <c r="AI23" i="4"/>
  <c r="AJ23" i="4"/>
  <c r="AG24" i="4"/>
  <c r="AH24" i="4"/>
  <c r="AI24" i="4"/>
  <c r="AJ24" i="4"/>
  <c r="AG25" i="4"/>
  <c r="AH25" i="4"/>
  <c r="AI25" i="4"/>
  <c r="AJ25" i="4"/>
  <c r="AG26" i="4"/>
  <c r="AH26" i="4"/>
  <c r="AI26" i="4"/>
  <c r="AJ26" i="4"/>
  <c r="AG27" i="4"/>
  <c r="AH27" i="4"/>
  <c r="AI27" i="4"/>
  <c r="AJ27" i="4"/>
  <c r="AG28" i="4"/>
  <c r="AH28" i="4"/>
  <c r="AI28" i="4"/>
  <c r="AJ28" i="4"/>
  <c r="AG29" i="4"/>
  <c r="AH29" i="4"/>
  <c r="AI29" i="4"/>
  <c r="AJ29" i="4"/>
  <c r="AG30" i="4"/>
  <c r="AH30" i="4"/>
  <c r="AI30" i="4"/>
  <c r="AJ30" i="4"/>
  <c r="AG31" i="4"/>
  <c r="AH31" i="4"/>
  <c r="AI31" i="4"/>
  <c r="AJ31" i="4"/>
  <c r="AG32" i="4"/>
  <c r="AH32" i="4"/>
  <c r="AI32" i="4"/>
  <c r="AJ32" i="4"/>
  <c r="AG33" i="4"/>
  <c r="AH33" i="4"/>
  <c r="AI33" i="4"/>
  <c r="AJ33" i="4"/>
  <c r="AG34" i="4"/>
  <c r="AH34" i="4"/>
  <c r="AI34" i="4"/>
  <c r="AJ34" i="4"/>
  <c r="AG35" i="4"/>
  <c r="AH35" i="4"/>
  <c r="AI35" i="4"/>
  <c r="AJ35" i="4"/>
  <c r="AG36" i="4"/>
  <c r="AH36" i="4"/>
  <c r="AI36" i="4"/>
  <c r="AJ36" i="4"/>
  <c r="AG37" i="4"/>
  <c r="AH37" i="4"/>
  <c r="AI37" i="4"/>
  <c r="AJ37" i="4"/>
  <c r="AG38" i="4"/>
  <c r="AH38" i="4"/>
  <c r="AI38" i="4"/>
  <c r="AJ38" i="4"/>
  <c r="AG39" i="4"/>
  <c r="AH39" i="4"/>
  <c r="AI39" i="4"/>
  <c r="AJ39" i="4"/>
  <c r="AG40" i="4"/>
  <c r="AH40" i="4"/>
  <c r="AI40" i="4"/>
  <c r="AJ40" i="4"/>
  <c r="AG41" i="4"/>
  <c r="AH41" i="4"/>
  <c r="AI41" i="4"/>
  <c r="AJ41" i="4"/>
  <c r="AG42" i="4"/>
  <c r="AH42" i="4"/>
  <c r="AI42" i="4"/>
  <c r="AJ42" i="4"/>
  <c r="AG43" i="4"/>
  <c r="AH43" i="4"/>
  <c r="AI43" i="4"/>
  <c r="AJ43" i="4"/>
  <c r="AG44" i="4"/>
  <c r="AH44" i="4"/>
  <c r="AI44" i="4"/>
  <c r="AJ44" i="4"/>
  <c r="AG45" i="4"/>
  <c r="AH45" i="4"/>
  <c r="AI45" i="4"/>
  <c r="AJ45" i="4"/>
  <c r="AG46" i="4"/>
  <c r="AH46" i="4"/>
  <c r="AI46" i="4"/>
  <c r="AJ46" i="4"/>
  <c r="AG47" i="4"/>
  <c r="AH47" i="4"/>
  <c r="AI47" i="4"/>
  <c r="AJ47" i="4"/>
  <c r="AG48" i="4"/>
  <c r="AH48" i="4"/>
  <c r="AI48" i="4"/>
  <c r="AJ48" i="4"/>
  <c r="AG49" i="4"/>
  <c r="AH49" i="4"/>
  <c r="AI49" i="4"/>
  <c r="AJ49" i="4"/>
  <c r="AG50" i="4"/>
  <c r="AH50" i="4"/>
  <c r="AI50" i="4"/>
  <c r="AJ50" i="4"/>
  <c r="AG51" i="4"/>
  <c r="AH51" i="4"/>
  <c r="AI51" i="4"/>
  <c r="AJ51" i="4"/>
  <c r="AG52" i="4"/>
  <c r="AH52" i="4"/>
  <c r="AI52" i="4"/>
  <c r="AJ52" i="4"/>
  <c r="AG53" i="4"/>
  <c r="AH53" i="4"/>
  <c r="AI53" i="4"/>
  <c r="AJ53" i="4"/>
  <c r="AG54" i="4"/>
  <c r="AH54" i="4"/>
  <c r="AI54" i="4"/>
  <c r="AJ54" i="4"/>
  <c r="AG55" i="4"/>
  <c r="AH55" i="4"/>
  <c r="AI55" i="4"/>
  <c r="AJ55" i="4"/>
  <c r="AG56" i="4"/>
  <c r="AH56" i="4"/>
  <c r="AI56" i="4"/>
  <c r="AJ56" i="4"/>
  <c r="AG57" i="4"/>
  <c r="AH57" i="4"/>
  <c r="AI57" i="4"/>
  <c r="AJ57" i="4"/>
  <c r="AG58" i="4"/>
  <c r="AH58" i="4"/>
  <c r="AI58" i="4"/>
  <c r="AJ58" i="4"/>
  <c r="AG59" i="4"/>
  <c r="AH59" i="4"/>
  <c r="AI59" i="4"/>
  <c r="AJ59" i="4"/>
  <c r="AG60" i="4"/>
  <c r="AH60" i="4"/>
  <c r="AI60" i="4"/>
  <c r="AJ60" i="4"/>
  <c r="AG61" i="4"/>
  <c r="AH61" i="4"/>
  <c r="AI61" i="4"/>
  <c r="AJ61" i="4"/>
  <c r="AG62" i="4"/>
  <c r="AH62" i="4"/>
  <c r="AI62" i="4"/>
  <c r="AJ62" i="4"/>
  <c r="AG63" i="4"/>
  <c r="AH63" i="4"/>
  <c r="AI63" i="4"/>
  <c r="AJ63" i="4"/>
  <c r="AG64" i="4"/>
  <c r="AH64" i="4"/>
  <c r="AI64" i="4"/>
  <c r="AJ64" i="4"/>
  <c r="AG65" i="4"/>
  <c r="AH65" i="4"/>
  <c r="AI65" i="4"/>
  <c r="AJ65" i="4"/>
  <c r="AG66" i="4"/>
  <c r="AH66" i="4"/>
  <c r="AI66" i="4"/>
  <c r="AJ66" i="4"/>
  <c r="AG67" i="4"/>
  <c r="AH67" i="4"/>
  <c r="AI67" i="4"/>
  <c r="AJ67" i="4"/>
  <c r="AG68" i="4"/>
  <c r="AH68" i="4"/>
  <c r="AI68" i="4"/>
  <c r="AJ68" i="4"/>
  <c r="AG69" i="4"/>
  <c r="AH69" i="4"/>
  <c r="AI69" i="4"/>
  <c r="AJ69" i="4"/>
  <c r="AG70" i="4"/>
  <c r="AH70" i="4"/>
  <c r="AI70" i="4"/>
  <c r="AJ70" i="4"/>
  <c r="AG71" i="4"/>
  <c r="AH71" i="4"/>
  <c r="AI71" i="4"/>
  <c r="AJ71" i="4"/>
  <c r="AG72" i="4"/>
  <c r="AH72" i="4"/>
  <c r="AI72" i="4"/>
  <c r="AJ72" i="4"/>
  <c r="AG73" i="4"/>
  <c r="AH73" i="4"/>
  <c r="AI73" i="4"/>
  <c r="AJ73" i="4"/>
  <c r="AG74" i="4"/>
  <c r="AH74" i="4"/>
  <c r="AI74" i="4"/>
  <c r="AJ74" i="4"/>
  <c r="AG75" i="4"/>
  <c r="AH75" i="4"/>
  <c r="AI75" i="4"/>
  <c r="AJ75" i="4"/>
  <c r="AG76" i="4"/>
  <c r="AH76" i="4"/>
  <c r="AI76" i="4"/>
  <c r="AJ76" i="4"/>
  <c r="AG77" i="4"/>
  <c r="AH77" i="4"/>
  <c r="AI77" i="4"/>
  <c r="AJ77" i="4"/>
  <c r="AG78" i="4"/>
  <c r="AH78" i="4"/>
  <c r="AI78" i="4"/>
  <c r="AJ78" i="4"/>
  <c r="AG79" i="4"/>
  <c r="AH79" i="4"/>
  <c r="AI79" i="4"/>
  <c r="AJ79" i="4"/>
  <c r="AG80" i="4"/>
  <c r="AH80" i="4"/>
  <c r="AI80" i="4"/>
  <c r="AJ80" i="4"/>
  <c r="AG81" i="4"/>
  <c r="AH81" i="4"/>
  <c r="AI81" i="4"/>
  <c r="AJ81" i="4"/>
  <c r="AG82" i="4"/>
  <c r="AH82" i="4"/>
  <c r="AI82" i="4"/>
  <c r="AJ82" i="4"/>
  <c r="AG83" i="4"/>
  <c r="AH83" i="4"/>
  <c r="AI83" i="4"/>
  <c r="AJ83" i="4"/>
  <c r="AG84" i="4"/>
  <c r="AH84" i="4"/>
  <c r="AI84" i="4"/>
  <c r="AJ84" i="4"/>
  <c r="AG85" i="4"/>
  <c r="AH85" i="4"/>
  <c r="AI85" i="4"/>
  <c r="AJ85" i="4"/>
  <c r="AG86" i="4"/>
  <c r="AH86" i="4"/>
  <c r="AI86" i="4"/>
  <c r="AJ86" i="4"/>
  <c r="AG87" i="4"/>
  <c r="AH87" i="4"/>
  <c r="AI87" i="4"/>
  <c r="AJ87" i="4"/>
  <c r="AG88" i="4"/>
  <c r="AH88" i="4"/>
  <c r="AI88" i="4"/>
  <c r="AJ88" i="4"/>
  <c r="AG89" i="4"/>
  <c r="AH89" i="4"/>
  <c r="AI89" i="4"/>
  <c r="AJ89" i="4"/>
  <c r="AG90" i="4"/>
  <c r="AH90" i="4"/>
  <c r="AI90" i="4"/>
  <c r="AJ90" i="4"/>
  <c r="AG91" i="4"/>
  <c r="AH91" i="4"/>
  <c r="AI91" i="4"/>
  <c r="AJ91" i="4"/>
  <c r="AG92" i="4"/>
  <c r="AH92" i="4"/>
  <c r="AI92" i="4"/>
  <c r="AJ92" i="4"/>
  <c r="AG93" i="4"/>
  <c r="AH93" i="4"/>
  <c r="AI93" i="4"/>
  <c r="AJ93" i="4"/>
  <c r="AG94" i="4"/>
  <c r="AH94" i="4"/>
  <c r="AI94" i="4"/>
  <c r="AJ94" i="4"/>
  <c r="AG95" i="4"/>
  <c r="AH95" i="4"/>
  <c r="AI95" i="4"/>
  <c r="AJ95" i="4"/>
  <c r="AG96" i="4"/>
  <c r="AH96" i="4"/>
  <c r="AI96" i="4"/>
  <c r="AJ96" i="4"/>
  <c r="AG97" i="4"/>
  <c r="AH97" i="4"/>
  <c r="AI97" i="4"/>
  <c r="AJ97" i="4"/>
  <c r="AG98" i="4"/>
  <c r="AH98" i="4"/>
  <c r="AI98" i="4"/>
  <c r="AJ98" i="4"/>
  <c r="AG99" i="4"/>
  <c r="AH99" i="4"/>
  <c r="AI99" i="4"/>
  <c r="AJ99" i="4"/>
  <c r="AG100" i="4"/>
  <c r="AH100" i="4"/>
  <c r="AI100" i="4"/>
  <c r="AJ100" i="4"/>
  <c r="AG101" i="4"/>
  <c r="AH101" i="4"/>
  <c r="AI101" i="4"/>
  <c r="AJ101" i="4"/>
  <c r="AG102" i="4"/>
  <c r="AH102" i="4"/>
  <c r="AI102" i="4"/>
  <c r="AJ102" i="4"/>
  <c r="AG103" i="4"/>
  <c r="AH103" i="4"/>
  <c r="AI103" i="4"/>
  <c r="AJ103" i="4"/>
  <c r="AG104" i="4"/>
  <c r="AH104" i="4"/>
  <c r="AI104" i="4"/>
  <c r="AJ104" i="4"/>
  <c r="AG105" i="4"/>
  <c r="AH105" i="4"/>
  <c r="AI105" i="4"/>
  <c r="AJ105" i="4"/>
  <c r="AG106" i="4"/>
  <c r="AH106" i="4"/>
  <c r="AI106" i="4"/>
  <c r="AJ106" i="4"/>
  <c r="AG107" i="4"/>
  <c r="AH107" i="4"/>
  <c r="AI107" i="4"/>
  <c r="AJ107" i="4"/>
  <c r="AG108" i="4"/>
  <c r="AH108" i="4"/>
  <c r="AI108" i="4"/>
  <c r="AJ108" i="4"/>
  <c r="AG109" i="4"/>
  <c r="AH109" i="4"/>
  <c r="AI109" i="4"/>
  <c r="AJ109" i="4"/>
  <c r="AG110" i="4"/>
  <c r="AH110" i="4"/>
  <c r="AI110" i="4"/>
  <c r="AJ110" i="4"/>
  <c r="AG111" i="4"/>
  <c r="AH111" i="4"/>
  <c r="AI111" i="4"/>
  <c r="AJ111" i="4"/>
  <c r="AG112" i="4"/>
  <c r="AH112" i="4"/>
  <c r="AI112" i="4"/>
  <c r="AJ112" i="4"/>
  <c r="AG113" i="4"/>
  <c r="AH113" i="4"/>
  <c r="AI113" i="4"/>
  <c r="AJ113" i="4"/>
  <c r="AG114" i="4"/>
  <c r="AH114" i="4"/>
  <c r="AI114" i="4"/>
  <c r="AJ114" i="4"/>
  <c r="AG115" i="4"/>
  <c r="AH115" i="4"/>
  <c r="AI115" i="4"/>
  <c r="AJ115" i="4"/>
  <c r="AG116" i="4"/>
  <c r="AH116" i="4"/>
  <c r="AI116" i="4"/>
  <c r="AJ116" i="4"/>
  <c r="AG117" i="4"/>
  <c r="AH117" i="4"/>
  <c r="AI117" i="4"/>
  <c r="AJ117" i="4"/>
  <c r="AG118" i="4"/>
  <c r="AH118" i="4"/>
  <c r="AI118" i="4"/>
  <c r="AJ118" i="4"/>
  <c r="AG119" i="4"/>
  <c r="AH119" i="4"/>
  <c r="AI119" i="4"/>
  <c r="AJ119" i="4"/>
  <c r="AG120" i="4"/>
  <c r="AH120" i="4"/>
  <c r="AI120" i="4"/>
  <c r="AJ120" i="4"/>
  <c r="AG121" i="4"/>
  <c r="AH121" i="4"/>
  <c r="AI121" i="4"/>
  <c r="AJ121" i="4"/>
  <c r="AG122" i="4"/>
  <c r="AH122" i="4"/>
  <c r="AI122" i="4"/>
  <c r="AJ122" i="4"/>
  <c r="AG123" i="4"/>
  <c r="AH123" i="4"/>
  <c r="AI123" i="4"/>
  <c r="AJ123" i="4"/>
  <c r="AG124" i="4"/>
  <c r="AH124" i="4"/>
  <c r="AI124" i="4"/>
  <c r="AJ124" i="4"/>
  <c r="AG125" i="4"/>
  <c r="AH125" i="4"/>
  <c r="AI125" i="4"/>
  <c r="AJ125" i="4"/>
  <c r="AG126" i="4"/>
  <c r="AH126" i="4"/>
  <c r="AI126" i="4"/>
  <c r="AJ126" i="4"/>
  <c r="AG127" i="4"/>
  <c r="AH127" i="4"/>
  <c r="AI127" i="4"/>
  <c r="AJ127" i="4"/>
  <c r="AG128" i="4"/>
  <c r="AH128" i="4"/>
  <c r="AI128" i="4"/>
  <c r="AJ128" i="4"/>
  <c r="AG129" i="4"/>
  <c r="AH129" i="4"/>
  <c r="AI129" i="4"/>
  <c r="AJ129" i="4"/>
  <c r="AH2" i="4"/>
  <c r="AI2" i="4"/>
  <c r="AJ2" i="4"/>
  <c r="AG2" i="4"/>
  <c r="Z3" i="4"/>
  <c r="AA3" i="4"/>
  <c r="AB3" i="4"/>
  <c r="AC3" i="4"/>
  <c r="Z4" i="4"/>
  <c r="AA4" i="4"/>
  <c r="AB4" i="4"/>
  <c r="AC4" i="4"/>
  <c r="Z5" i="4"/>
  <c r="AA5" i="4"/>
  <c r="AB5" i="4"/>
  <c r="AC5" i="4"/>
  <c r="Z6" i="4"/>
  <c r="AA6" i="4"/>
  <c r="AB6" i="4"/>
  <c r="AC6" i="4"/>
  <c r="Z7" i="4"/>
  <c r="AA7" i="4"/>
  <c r="AB7" i="4"/>
  <c r="AC7" i="4"/>
  <c r="Z8" i="4"/>
  <c r="AA8" i="4"/>
  <c r="AB8" i="4"/>
  <c r="AC8" i="4"/>
  <c r="Z9" i="4"/>
  <c r="AA9" i="4"/>
  <c r="AB9" i="4"/>
  <c r="AC9" i="4"/>
  <c r="Z10" i="4"/>
  <c r="AA10" i="4"/>
  <c r="AB10" i="4"/>
  <c r="AC10" i="4"/>
  <c r="Z11" i="4"/>
  <c r="AA11" i="4"/>
  <c r="AB11" i="4"/>
  <c r="AC11" i="4"/>
  <c r="Z12" i="4"/>
  <c r="AA12" i="4"/>
  <c r="AB12" i="4"/>
  <c r="AC12" i="4"/>
  <c r="Z13" i="4"/>
  <c r="AA13" i="4"/>
  <c r="AB13" i="4"/>
  <c r="AC13" i="4"/>
  <c r="Z14" i="4"/>
  <c r="AA14" i="4"/>
  <c r="AB14" i="4"/>
  <c r="AC14" i="4"/>
  <c r="Z15" i="4"/>
  <c r="AA15" i="4"/>
  <c r="AB15" i="4"/>
  <c r="AC15" i="4"/>
  <c r="Z16" i="4"/>
  <c r="AA16" i="4"/>
  <c r="AB16" i="4"/>
  <c r="AC16" i="4"/>
  <c r="Z17" i="4"/>
  <c r="AA17" i="4"/>
  <c r="AB17" i="4"/>
  <c r="AC17" i="4"/>
  <c r="Z18" i="4"/>
  <c r="AA18" i="4"/>
  <c r="AB18" i="4"/>
  <c r="AC18" i="4"/>
  <c r="Z19" i="4"/>
  <c r="AA19" i="4"/>
  <c r="AB19" i="4"/>
  <c r="AC19" i="4"/>
  <c r="Z20" i="4"/>
  <c r="AA20" i="4"/>
  <c r="AB20" i="4"/>
  <c r="AC20" i="4"/>
  <c r="Z21" i="4"/>
  <c r="AA21" i="4"/>
  <c r="AB21" i="4"/>
  <c r="AC21" i="4"/>
  <c r="Z22" i="4"/>
  <c r="AA22" i="4"/>
  <c r="AB22" i="4"/>
  <c r="AC22" i="4"/>
  <c r="Z23" i="4"/>
  <c r="AA23" i="4"/>
  <c r="AB23" i="4"/>
  <c r="AC23" i="4"/>
  <c r="Z24" i="4"/>
  <c r="AA24" i="4"/>
  <c r="AB24" i="4"/>
  <c r="AC24" i="4"/>
  <c r="Z25" i="4"/>
  <c r="AA25" i="4"/>
  <c r="AB25" i="4"/>
  <c r="AC25" i="4"/>
  <c r="Z26" i="4"/>
  <c r="AA26" i="4"/>
  <c r="AB26" i="4"/>
  <c r="AC26" i="4"/>
  <c r="Z27" i="4"/>
  <c r="AA27" i="4"/>
  <c r="AB27" i="4"/>
  <c r="AC27" i="4"/>
  <c r="Z28" i="4"/>
  <c r="AA28" i="4"/>
  <c r="AB28" i="4"/>
  <c r="AC28" i="4"/>
  <c r="Z29" i="4"/>
  <c r="AA29" i="4"/>
  <c r="AB29" i="4"/>
  <c r="AC29" i="4"/>
  <c r="Z30" i="4"/>
  <c r="AA30" i="4"/>
  <c r="AB30" i="4"/>
  <c r="AC30" i="4"/>
  <c r="Z31" i="4"/>
  <c r="AA31" i="4"/>
  <c r="AB31" i="4"/>
  <c r="AC31" i="4"/>
  <c r="Z32" i="4"/>
  <c r="AA32" i="4"/>
  <c r="AB32" i="4"/>
  <c r="AC32" i="4"/>
  <c r="Z33" i="4"/>
  <c r="AA33" i="4"/>
  <c r="AB33" i="4"/>
  <c r="AC33" i="4"/>
  <c r="Z34" i="4"/>
  <c r="AA34" i="4"/>
  <c r="AB34" i="4"/>
  <c r="AC34" i="4"/>
  <c r="Z35" i="4"/>
  <c r="AA35" i="4"/>
  <c r="AB35" i="4"/>
  <c r="AC35" i="4"/>
  <c r="Z36" i="4"/>
  <c r="AA36" i="4"/>
  <c r="AB36" i="4"/>
  <c r="AC36" i="4"/>
  <c r="Z37" i="4"/>
  <c r="AA37" i="4"/>
  <c r="AB37" i="4"/>
  <c r="AC37" i="4"/>
  <c r="Z38" i="4"/>
  <c r="AA38" i="4"/>
  <c r="AB38" i="4"/>
  <c r="AC38" i="4"/>
  <c r="Z39" i="4"/>
  <c r="AA39" i="4"/>
  <c r="AB39" i="4"/>
  <c r="AC39" i="4"/>
  <c r="Z40" i="4"/>
  <c r="AA40" i="4"/>
  <c r="AB40" i="4"/>
  <c r="AC40" i="4"/>
  <c r="Z41" i="4"/>
  <c r="AA41" i="4"/>
  <c r="AB41" i="4"/>
  <c r="AC41" i="4"/>
  <c r="Z42" i="4"/>
  <c r="AA42" i="4"/>
  <c r="AB42" i="4"/>
  <c r="AC42" i="4"/>
  <c r="Z43" i="4"/>
  <c r="AA43" i="4"/>
  <c r="AB43" i="4"/>
  <c r="AC43" i="4"/>
  <c r="Z44" i="4"/>
  <c r="AA44" i="4"/>
  <c r="AB44" i="4"/>
  <c r="AC44" i="4"/>
  <c r="Z45" i="4"/>
  <c r="AA45" i="4"/>
  <c r="AB45" i="4"/>
  <c r="AC45" i="4"/>
  <c r="Z46" i="4"/>
  <c r="AA46" i="4"/>
  <c r="AB46" i="4"/>
  <c r="AC46" i="4"/>
  <c r="Z47" i="4"/>
  <c r="AA47" i="4"/>
  <c r="AB47" i="4"/>
  <c r="AC47" i="4"/>
  <c r="Z48" i="4"/>
  <c r="AA48" i="4"/>
  <c r="AB48" i="4"/>
  <c r="AC48" i="4"/>
  <c r="Z49" i="4"/>
  <c r="AA49" i="4"/>
  <c r="AB49" i="4"/>
  <c r="AC49" i="4"/>
  <c r="Z50" i="4"/>
  <c r="AA50" i="4"/>
  <c r="AB50" i="4"/>
  <c r="AC50" i="4"/>
  <c r="Z51" i="4"/>
  <c r="AA51" i="4"/>
  <c r="AB51" i="4"/>
  <c r="AC51" i="4"/>
  <c r="Z52" i="4"/>
  <c r="AA52" i="4"/>
  <c r="AB52" i="4"/>
  <c r="AC52" i="4"/>
  <c r="Z53" i="4"/>
  <c r="AA53" i="4"/>
  <c r="AB53" i="4"/>
  <c r="AC53" i="4"/>
  <c r="Z54" i="4"/>
  <c r="AA54" i="4"/>
  <c r="AB54" i="4"/>
  <c r="AC54" i="4"/>
  <c r="Z55" i="4"/>
  <c r="AA55" i="4"/>
  <c r="AB55" i="4"/>
  <c r="AC55" i="4"/>
  <c r="Z56" i="4"/>
  <c r="AA56" i="4"/>
  <c r="AB56" i="4"/>
  <c r="AC56" i="4"/>
  <c r="Z57" i="4"/>
  <c r="AA57" i="4"/>
  <c r="AB57" i="4"/>
  <c r="AC57" i="4"/>
  <c r="Z58" i="4"/>
  <c r="AA58" i="4"/>
  <c r="AB58" i="4"/>
  <c r="AC58" i="4"/>
  <c r="Z59" i="4"/>
  <c r="AA59" i="4"/>
  <c r="AB59" i="4"/>
  <c r="AC59" i="4"/>
  <c r="Z60" i="4"/>
  <c r="AA60" i="4"/>
  <c r="AB60" i="4"/>
  <c r="AC60" i="4"/>
  <c r="Z61" i="4"/>
  <c r="AA61" i="4"/>
  <c r="AB61" i="4"/>
  <c r="AC61" i="4"/>
  <c r="Z62" i="4"/>
  <c r="AA62" i="4"/>
  <c r="AB62" i="4"/>
  <c r="AC62" i="4"/>
  <c r="Z63" i="4"/>
  <c r="AA63" i="4"/>
  <c r="AB63" i="4"/>
  <c r="AC63" i="4"/>
  <c r="Z64" i="4"/>
  <c r="AA64" i="4"/>
  <c r="AB64" i="4"/>
  <c r="AC64" i="4"/>
  <c r="Z65" i="4"/>
  <c r="AA65" i="4"/>
  <c r="AB65" i="4"/>
  <c r="AC65" i="4"/>
  <c r="Z66" i="4"/>
  <c r="AA66" i="4"/>
  <c r="AB66" i="4"/>
  <c r="AC66" i="4"/>
  <c r="Z67" i="4"/>
  <c r="AA67" i="4"/>
  <c r="AB67" i="4"/>
  <c r="AC67" i="4"/>
  <c r="Z68" i="4"/>
  <c r="AA68" i="4"/>
  <c r="AB68" i="4"/>
  <c r="AC68" i="4"/>
  <c r="Z69" i="4"/>
  <c r="AA69" i="4"/>
  <c r="AB69" i="4"/>
  <c r="AC69" i="4"/>
  <c r="Z70" i="4"/>
  <c r="AA70" i="4"/>
  <c r="AB70" i="4"/>
  <c r="AC70" i="4"/>
  <c r="Z71" i="4"/>
  <c r="AA71" i="4"/>
  <c r="AB71" i="4"/>
  <c r="AC71" i="4"/>
  <c r="Z72" i="4"/>
  <c r="AA72" i="4"/>
  <c r="AB72" i="4"/>
  <c r="AC72" i="4"/>
  <c r="Z73" i="4"/>
  <c r="AA73" i="4"/>
  <c r="AB73" i="4"/>
  <c r="AC73" i="4"/>
  <c r="Z74" i="4"/>
  <c r="AA74" i="4"/>
  <c r="AB74" i="4"/>
  <c r="AC74" i="4"/>
  <c r="Z75" i="4"/>
  <c r="AA75" i="4"/>
  <c r="AB75" i="4"/>
  <c r="AC75" i="4"/>
  <c r="Z76" i="4"/>
  <c r="AA76" i="4"/>
  <c r="AB76" i="4"/>
  <c r="AC76" i="4"/>
  <c r="Z77" i="4"/>
  <c r="AA77" i="4"/>
  <c r="AB77" i="4"/>
  <c r="AC77" i="4"/>
  <c r="Z78" i="4"/>
  <c r="AA78" i="4"/>
  <c r="AB78" i="4"/>
  <c r="AC78" i="4"/>
  <c r="Z79" i="4"/>
  <c r="AA79" i="4"/>
  <c r="AB79" i="4"/>
  <c r="AC79" i="4"/>
  <c r="Z80" i="4"/>
  <c r="AA80" i="4"/>
  <c r="AB80" i="4"/>
  <c r="AC80" i="4"/>
  <c r="Z81" i="4"/>
  <c r="AA81" i="4"/>
  <c r="AB81" i="4"/>
  <c r="AC81" i="4"/>
  <c r="Z82" i="4"/>
  <c r="AA82" i="4"/>
  <c r="AB82" i="4"/>
  <c r="AC82" i="4"/>
  <c r="Z83" i="4"/>
  <c r="AA83" i="4"/>
  <c r="AB83" i="4"/>
  <c r="AC83" i="4"/>
  <c r="Z84" i="4"/>
  <c r="AA84" i="4"/>
  <c r="AB84" i="4"/>
  <c r="AC84" i="4"/>
  <c r="Z85" i="4"/>
  <c r="AA85" i="4"/>
  <c r="AB85" i="4"/>
  <c r="AC85" i="4"/>
  <c r="Z86" i="4"/>
  <c r="AA86" i="4"/>
  <c r="AB86" i="4"/>
  <c r="AC86" i="4"/>
  <c r="Z87" i="4"/>
  <c r="AA87" i="4"/>
  <c r="AB87" i="4"/>
  <c r="AC87" i="4"/>
  <c r="Z88" i="4"/>
  <c r="AA88" i="4"/>
  <c r="AB88" i="4"/>
  <c r="AC88" i="4"/>
  <c r="Z89" i="4"/>
  <c r="AA89" i="4"/>
  <c r="AB89" i="4"/>
  <c r="AC89" i="4"/>
  <c r="Z90" i="4"/>
  <c r="AA90" i="4"/>
  <c r="AB90" i="4"/>
  <c r="AC90" i="4"/>
  <c r="Z91" i="4"/>
  <c r="AA91" i="4"/>
  <c r="AB91" i="4"/>
  <c r="AC91" i="4"/>
  <c r="Z92" i="4"/>
  <c r="AA92" i="4"/>
  <c r="AB92" i="4"/>
  <c r="AC92" i="4"/>
  <c r="Z93" i="4"/>
  <c r="AA93" i="4"/>
  <c r="AB93" i="4"/>
  <c r="AC93" i="4"/>
  <c r="Z94" i="4"/>
  <c r="AA94" i="4"/>
  <c r="AB94" i="4"/>
  <c r="AC94" i="4"/>
  <c r="Z95" i="4"/>
  <c r="AA95" i="4"/>
  <c r="AB95" i="4"/>
  <c r="AC95" i="4"/>
  <c r="Z96" i="4"/>
  <c r="AA96" i="4"/>
  <c r="AB96" i="4"/>
  <c r="AC96" i="4"/>
  <c r="Z97" i="4"/>
  <c r="AA97" i="4"/>
  <c r="AB97" i="4"/>
  <c r="AC97" i="4"/>
  <c r="Z98" i="4"/>
  <c r="AA98" i="4"/>
  <c r="AB98" i="4"/>
  <c r="AC98" i="4"/>
  <c r="Z99" i="4"/>
  <c r="AA99" i="4"/>
  <c r="AB99" i="4"/>
  <c r="AC99" i="4"/>
  <c r="Z100" i="4"/>
  <c r="AA100" i="4"/>
  <c r="AB100" i="4"/>
  <c r="AC100" i="4"/>
  <c r="Z101" i="4"/>
  <c r="AA101" i="4"/>
  <c r="AB101" i="4"/>
  <c r="AC101" i="4"/>
  <c r="Z102" i="4"/>
  <c r="AA102" i="4"/>
  <c r="AB102" i="4"/>
  <c r="AC102" i="4"/>
  <c r="Z103" i="4"/>
  <c r="AA103" i="4"/>
  <c r="AB103" i="4"/>
  <c r="AC103" i="4"/>
  <c r="Z104" i="4"/>
  <c r="AA104" i="4"/>
  <c r="AB104" i="4"/>
  <c r="AC104" i="4"/>
  <c r="Z105" i="4"/>
  <c r="AA105" i="4"/>
  <c r="AB105" i="4"/>
  <c r="AC105" i="4"/>
  <c r="Z106" i="4"/>
  <c r="AA106" i="4"/>
  <c r="AB106" i="4"/>
  <c r="AC106" i="4"/>
  <c r="Z107" i="4"/>
  <c r="AA107" i="4"/>
  <c r="AB107" i="4"/>
  <c r="AC107" i="4"/>
  <c r="Z108" i="4"/>
  <c r="AA108" i="4"/>
  <c r="AB108" i="4"/>
  <c r="AC108" i="4"/>
  <c r="Z109" i="4"/>
  <c r="AA109" i="4"/>
  <c r="AB109" i="4"/>
  <c r="AC109" i="4"/>
  <c r="Z110" i="4"/>
  <c r="AA110" i="4"/>
  <c r="AB110" i="4"/>
  <c r="AC110" i="4"/>
  <c r="Z111" i="4"/>
  <c r="AA111" i="4"/>
  <c r="AB111" i="4"/>
  <c r="AC111" i="4"/>
  <c r="Z112" i="4"/>
  <c r="AA112" i="4"/>
  <c r="AB112" i="4"/>
  <c r="AC112" i="4"/>
  <c r="Z113" i="4"/>
  <c r="AA113" i="4"/>
  <c r="AB113" i="4"/>
  <c r="AC113" i="4"/>
  <c r="Z114" i="4"/>
  <c r="AA114" i="4"/>
  <c r="AB114" i="4"/>
  <c r="AC114" i="4"/>
  <c r="Z115" i="4"/>
  <c r="AA115" i="4"/>
  <c r="AB115" i="4"/>
  <c r="AC115" i="4"/>
  <c r="Z116" i="4"/>
  <c r="AA116" i="4"/>
  <c r="AB116" i="4"/>
  <c r="AC116" i="4"/>
  <c r="Z117" i="4"/>
  <c r="AA117" i="4"/>
  <c r="AB117" i="4"/>
  <c r="AC117" i="4"/>
  <c r="Z118" i="4"/>
  <c r="AA118" i="4"/>
  <c r="AB118" i="4"/>
  <c r="AC118" i="4"/>
  <c r="Z119" i="4"/>
  <c r="AA119" i="4"/>
  <c r="AB119" i="4"/>
  <c r="AC119" i="4"/>
  <c r="Z120" i="4"/>
  <c r="AA120" i="4"/>
  <c r="AB120" i="4"/>
  <c r="AC120" i="4"/>
  <c r="Z121" i="4"/>
  <c r="AA121" i="4"/>
  <c r="AB121" i="4"/>
  <c r="AC121" i="4"/>
  <c r="Z122" i="4"/>
  <c r="AA122" i="4"/>
  <c r="AB122" i="4"/>
  <c r="AC122" i="4"/>
  <c r="Z123" i="4"/>
  <c r="AA123" i="4"/>
  <c r="AB123" i="4"/>
  <c r="AC123" i="4"/>
  <c r="Z124" i="4"/>
  <c r="AA124" i="4"/>
  <c r="AB124" i="4"/>
  <c r="AC124" i="4"/>
  <c r="Z125" i="4"/>
  <c r="AA125" i="4"/>
  <c r="AB125" i="4"/>
  <c r="AC125" i="4"/>
  <c r="Z126" i="4"/>
  <c r="AA126" i="4"/>
  <c r="AB126" i="4"/>
  <c r="AC126" i="4"/>
  <c r="Z127" i="4"/>
  <c r="AA127" i="4"/>
  <c r="AB127" i="4"/>
  <c r="AC127" i="4"/>
  <c r="Z128" i="4"/>
  <c r="AA128" i="4"/>
  <c r="AB128" i="4"/>
  <c r="AC128" i="4"/>
  <c r="Z129" i="4"/>
  <c r="AA129" i="4"/>
  <c r="AB129" i="4"/>
  <c r="AC129" i="4"/>
  <c r="AA2" i="4"/>
  <c r="AB2" i="4"/>
  <c r="AC2" i="4"/>
  <c r="Z2" i="4"/>
</calcChain>
</file>

<file path=xl/sharedStrings.xml><?xml version="1.0" encoding="utf-8"?>
<sst xmlns="http://schemas.openxmlformats.org/spreadsheetml/2006/main" count="852" uniqueCount="213">
  <si>
    <t>Years to forecast</t>
  </si>
  <si>
    <t>Rebuild budget</t>
  </si>
  <si>
    <t>Repair budget</t>
  </si>
  <si>
    <t>Inflation</t>
  </si>
  <si>
    <t>Repair order</t>
  </si>
  <si>
    <t>Block unit rebuild cost</t>
  </si>
  <si>
    <t>How many years to be simulated</t>
  </si>
  <si>
    <t>Year</t>
  </si>
  <si>
    <t>ab</t>
  </si>
  <si>
    <t>bc</t>
  </si>
  <si>
    <t>cd</t>
  </si>
  <si>
    <t>de</t>
  </si>
  <si>
    <t>Element ID</t>
  </si>
  <si>
    <t>Roofs</t>
  </si>
  <si>
    <t>STRUCTURE</t>
  </si>
  <si>
    <t>Flat roof  structure and deck - Generally</t>
  </si>
  <si>
    <t>Coverings and insulation</t>
  </si>
  <si>
    <t>FLAT ROOF - FLEXIBLE SHEET; SINGLE PLY OR BUILT UP</t>
  </si>
  <si>
    <t>FLAT ROOF - ASPHALT</t>
  </si>
  <si>
    <t>FLAT ROOF - FLAT METAL SHEET</t>
  </si>
  <si>
    <t>Drainage</t>
  </si>
  <si>
    <t>Flat roof - Fibre cement</t>
  </si>
  <si>
    <t>DRAINAGE</t>
  </si>
  <si>
    <t>FLAT ROOF - CAST IRON</t>
  </si>
  <si>
    <t>Flat roof - Aluminium</t>
  </si>
  <si>
    <t>FLAT ROOF - OTHER METAL</t>
  </si>
  <si>
    <t>FLAT ROOF - PLASTIC</t>
  </si>
  <si>
    <t>Pitched roof - Fibre Cement</t>
  </si>
  <si>
    <t>FLOORS AND STAIRS</t>
  </si>
  <si>
    <t>Suspended floors - Structure</t>
  </si>
  <si>
    <t>GENERALLY</t>
  </si>
  <si>
    <t>Floors -  Screed &amp; finish</t>
  </si>
  <si>
    <t>CONCRETE / UNFINISHED SCREED / FLOOR PAINT</t>
  </si>
  <si>
    <t>SOFTWOOD BOARDING</t>
  </si>
  <si>
    <t>Hardwood strip / wood block / sprung flooring</t>
  </si>
  <si>
    <t>Ceilings</t>
  </si>
  <si>
    <t>Generally</t>
  </si>
  <si>
    <t>CEILINGS</t>
  </si>
  <si>
    <t>Suspended ceiling; timber boarding / panels</t>
  </si>
  <si>
    <t>Suspended ceiling; fibreboard / acoustic tiles</t>
  </si>
  <si>
    <t>Suspended ceiling; metal tiles</t>
  </si>
  <si>
    <t>Suspended rafts below fair faced / plaster soffit</t>
  </si>
  <si>
    <t>External Walls, Windows and Doors</t>
  </si>
  <si>
    <t>WALLS - STRUCTURE</t>
  </si>
  <si>
    <t>CONCRETE / BRICK / BLOCK WITH RAINSCREEN CLADDING</t>
  </si>
  <si>
    <t>Walls - External finishes</t>
  </si>
  <si>
    <t xml:space="preserve">PITCHED ROOF STRUCTURE - GENERALLY </t>
  </si>
  <si>
    <t>PITCHED ROOF - CAST IRON</t>
  </si>
  <si>
    <t>PITCHED ROOF - ALUMINIUM</t>
  </si>
  <si>
    <t>PITCHED ROOF - OTHER METAL</t>
  </si>
  <si>
    <t>PITCHED ROOF - PLASTIC</t>
  </si>
  <si>
    <t>GROUND BEARING / HOLLOW FLOORS - STRUCTURE</t>
  </si>
  <si>
    <t>Staircases - Structure</t>
  </si>
  <si>
    <t>CONCRETE</t>
  </si>
  <si>
    <t>TIMBER</t>
  </si>
  <si>
    <t>METAL</t>
  </si>
  <si>
    <t>STAIRCASES - BALUSTRADES</t>
  </si>
  <si>
    <t>METAL; PAINTED</t>
  </si>
  <si>
    <t>Metal; powder coated / self finished</t>
  </si>
  <si>
    <t>Staircases - Treads and risers</t>
  </si>
  <si>
    <t>Vinyl / rubber / cork / carpet in tiles / sheet</t>
  </si>
  <si>
    <t>CERAMIC TILES / TERRAZZO</t>
  </si>
  <si>
    <t>Fair face concrete</t>
  </si>
  <si>
    <t>Plaster / render / plasterboard/ timber lining</t>
  </si>
  <si>
    <t>Fibreboard / acoustic tile lining</t>
  </si>
  <si>
    <t>IN SITU CONCRETE</t>
  </si>
  <si>
    <t>PRECAST CONCRETE</t>
  </si>
  <si>
    <t>BRICK / BLOCK</t>
  </si>
  <si>
    <t>STONE</t>
  </si>
  <si>
    <t>BRICK / STONE</t>
  </si>
  <si>
    <t>RENDER</t>
  </si>
  <si>
    <t>NATURAL SLATE HANGING</t>
  </si>
  <si>
    <t>TILE HANGING</t>
  </si>
  <si>
    <t>TIMBER CLADDING</t>
  </si>
  <si>
    <t>PROFILED FIBRE CEMENT SHEET</t>
  </si>
  <si>
    <t>Profiled ffibreglass / GRP / plastic / composite / metal sheet</t>
  </si>
  <si>
    <t>FLAT METAL SHEET / PANELS</t>
  </si>
  <si>
    <t>Flat ffibreglass / GRP / plastic / composite in sheet / panels</t>
  </si>
  <si>
    <t>CERAMIC TILES</t>
  </si>
  <si>
    <t>Walls - Internal finishes</t>
  </si>
  <si>
    <t>PLASTER / RENDER / PLASTERBOARD LINING</t>
  </si>
  <si>
    <t>FIBREBOARD / ACOUSTIC LINING</t>
  </si>
  <si>
    <t>TIMBER LINING</t>
  </si>
  <si>
    <t>WINDOWS AND DOORS</t>
  </si>
  <si>
    <t>PLASTIC</t>
  </si>
  <si>
    <t>INTERNAL WALLS AND DOORS</t>
  </si>
  <si>
    <t>WALLS AND PARTITIONS - STRUCTURE</t>
  </si>
  <si>
    <t>BRICK / BLOCK / CONCRETE</t>
  </si>
  <si>
    <t>TIMBER / METAL STUD</t>
  </si>
  <si>
    <t>GLAZED SCREEN</t>
  </si>
  <si>
    <t>SLIDING / FOLDING PARTITION</t>
  </si>
  <si>
    <t>Walls and partitions finishes</t>
  </si>
  <si>
    <t>DOORS</t>
  </si>
  <si>
    <t>Metal / Plastic</t>
  </si>
  <si>
    <t>SANITARY SERVICES</t>
  </si>
  <si>
    <t>MECHANICAL SERVICES</t>
  </si>
  <si>
    <t>HEAT SOURCE &amp; EQUIPMENT</t>
  </si>
  <si>
    <t>Heating distribution, emitters and controls</t>
  </si>
  <si>
    <t>Hot and cold water system</t>
  </si>
  <si>
    <t>Generally including heat source/calorifier's for heating the water</t>
  </si>
  <si>
    <t>GAS DISTRIBUTION</t>
  </si>
  <si>
    <t>MECHANICAL VENTILATION / AIR CONDITIONING</t>
  </si>
  <si>
    <t>MECHANICAL VENTILATION</t>
  </si>
  <si>
    <t>AIR CONDITIONING</t>
  </si>
  <si>
    <t>ELECTRICAL SERVICES</t>
  </si>
  <si>
    <t>CONTROL GEAR</t>
  </si>
  <si>
    <t>POWER</t>
  </si>
  <si>
    <t>LIGHTING SYSTEM</t>
  </si>
  <si>
    <t>ALARMS</t>
  </si>
  <si>
    <t>COMMUNICATIONS AND IT INFRASTRUCTURE</t>
  </si>
  <si>
    <t>LIFTS</t>
  </si>
  <si>
    <t>Redecorations</t>
  </si>
  <si>
    <t>External - windows, doors, etc.</t>
  </si>
  <si>
    <t>FIXED FURNITURE AND FITTINGS</t>
  </si>
  <si>
    <t>TEACHING - SCIENCE, TECHNOLOGY</t>
  </si>
  <si>
    <t>TEACHING - OTHER</t>
  </si>
  <si>
    <t>NON-TEACHING - CATERING KITCHEN</t>
  </si>
  <si>
    <t>EXTERNAL AREAS</t>
  </si>
  <si>
    <t>ROADS AND CAR PARKS</t>
  </si>
  <si>
    <t>TARMAC</t>
  </si>
  <si>
    <t>IN-SITU CONCRETE</t>
  </si>
  <si>
    <t>Slab/block paving</t>
  </si>
  <si>
    <t>Paths, pedestrian paved areas, play areas</t>
  </si>
  <si>
    <t>SLABS / BLOCKS</t>
  </si>
  <si>
    <t>SOFT LANDSCAPING</t>
  </si>
  <si>
    <t>MAINS SERVICES</t>
  </si>
  <si>
    <t>BOUNDARY WALLS AND FENCES</t>
  </si>
  <si>
    <t>Brick / block / concrete / stone</t>
  </si>
  <si>
    <t>Timber / Metal</t>
  </si>
  <si>
    <t>CHAIN LINK</t>
  </si>
  <si>
    <t>Other walls, fences and barriers, including around tennis courts, MUGAs etc</t>
  </si>
  <si>
    <t>SWIMMING POOLS - STRUCTURE</t>
  </si>
  <si>
    <t>SWIMMING POOLS - PLANT</t>
  </si>
  <si>
    <t>Playing Fields</t>
  </si>
  <si>
    <t>All-weather, artificial and specialist</t>
  </si>
  <si>
    <t>GRASS</t>
  </si>
  <si>
    <t>FLAT ROOF - LIQUID APPLIED</t>
  </si>
  <si>
    <t>Flat roof - Green roof</t>
  </si>
  <si>
    <t>FLAT ROOF - GLAZED AREAS / ROOFLIGHTS</t>
  </si>
  <si>
    <t>Pitched roof - Natural slates</t>
  </si>
  <si>
    <t>PITCHED ROOF - TILES</t>
  </si>
  <si>
    <t>Pitched roof - Flexible sheet; single ply or built up</t>
  </si>
  <si>
    <t>Pitched roof - Profiled fibreglass / GRP / plastic / composite sheet</t>
  </si>
  <si>
    <t>PITCHED ROOF - PROFILED FIBRE CEMENT SHEET</t>
  </si>
  <si>
    <t>PITCHED ROOF - PROFILED METAL SHEET; SELF FINISHED</t>
  </si>
  <si>
    <t>Pitched roof - Flat metal sheet</t>
  </si>
  <si>
    <t>PITCHED ROOF - GLAZED AREAS / ROOFLIGHTS</t>
  </si>
  <si>
    <t>RAISED ACCESS FLOOR</t>
  </si>
  <si>
    <t>VINYL / RUBBER / CORK IN TILES / SHEET</t>
  </si>
  <si>
    <t>CARPET</t>
  </si>
  <si>
    <t>TIMBER FRAMED CURTAIN WALLING</t>
  </si>
  <si>
    <t>METAL FRAMED CURTAIN WALLING</t>
  </si>
  <si>
    <t>FRAMELESS GLAZING</t>
  </si>
  <si>
    <t>EXTERNAL - WALLS</t>
  </si>
  <si>
    <t>PAINTED</t>
  </si>
  <si>
    <t>Metal - painted</t>
  </si>
  <si>
    <t>INTERNAL - WALLS</t>
  </si>
  <si>
    <t>INTERNAL - CEILINGS</t>
  </si>
  <si>
    <t>Internal - windows, doors, etc.</t>
  </si>
  <si>
    <t>NON-TEACHING - OTHER</t>
  </si>
  <si>
    <t>DRAINAGE - TREATMENT PLANT</t>
  </si>
  <si>
    <t>DRAINAGE - OTHER</t>
  </si>
  <si>
    <t>Location factor</t>
  </si>
  <si>
    <t>Element</t>
  </si>
  <si>
    <t>Sub-element</t>
  </si>
  <si>
    <t>Construction type</t>
  </si>
  <si>
    <t>original ab</t>
  </si>
  <si>
    <t>original bc</t>
  </si>
  <si>
    <t>original cd</t>
  </si>
  <si>
    <t>original de</t>
  </si>
  <si>
    <t>after QA ab</t>
  </si>
  <si>
    <t>after QA bc</t>
  </si>
  <si>
    <t>after QA cd</t>
  </si>
  <si>
    <t>after QA de</t>
  </si>
  <si>
    <t>B repair cost</t>
  </si>
  <si>
    <t>C repair cost</t>
  </si>
  <si>
    <t>D repair cost</t>
  </si>
  <si>
    <t>E repair cost</t>
  </si>
  <si>
    <t>EDCB</t>
  </si>
  <si>
    <t>Path to PDS data</t>
  </si>
  <si>
    <t>Path to Rscript</t>
  </si>
  <si>
    <t>Path to Blockbuster2</t>
  </si>
  <si>
    <t>Save raw interim states</t>
  </si>
  <si>
    <t>The following are set automatically after installing the blockbuster2 package.</t>
  </si>
  <si>
    <t>Enter the estimated cost per sq.m of GIFA to rebuild a block</t>
  </si>
  <si>
    <t>Enter a sequence of letters indicating which grade should be prioritised for repair.  Acceptable entries are BCD, BDC, CBD, CDB, DBC, and DCB</t>
  </si>
  <si>
    <t>Do you want to include a location factor on repair and rebuild costs? NOT CURRENTLY IMPLEMENTED</t>
  </si>
  <si>
    <t>B.repair.cost</t>
  </si>
  <si>
    <t>C.repair.cost</t>
  </si>
  <si>
    <t>D.repair.cost</t>
  </si>
  <si>
    <t>E.repair.cost</t>
  </si>
  <si>
    <t>The repair costs per sq.m to the right are the costs from the PDS Costs Model and are 2014 prices. They can be copied directly into cells B2:E129</t>
  </si>
  <si>
    <t>20-21</t>
  </si>
  <si>
    <t>21-22</t>
  </si>
  <si>
    <t>22-23</t>
  </si>
  <si>
    <t>23-24</t>
  </si>
  <si>
    <t>24-25</t>
  </si>
  <si>
    <t>25-26</t>
  </si>
  <si>
    <t>26-27</t>
  </si>
  <si>
    <t>28-29</t>
  </si>
  <si>
    <t>27-28</t>
  </si>
  <si>
    <t>Start year label</t>
  </si>
  <si>
    <t>This is used to label the charts in the word output</t>
  </si>
  <si>
    <t>The repair costs per sq.m to the right are 2018 prices using BMI inflation. They can be copied directly into cells B2:E129</t>
  </si>
  <si>
    <r>
      <t xml:space="preserve">This is the folder that contains the file Rscript.exe.  Run the following command in R to find it: </t>
    </r>
    <r>
      <rPr>
        <sz val="11"/>
        <color theme="4"/>
        <rFont val="Lucida Console"/>
        <family val="3"/>
      </rPr>
      <t>print(file.path(R.home(), "bin", "x64"), quote = FALSE)</t>
    </r>
  </si>
  <si>
    <t>The repair costs per sq.m to the right are 2018 prices using TPI inflation. They can be copied directly into cells B2:E129</t>
  </si>
  <si>
    <t>The repair costs per sq.m to the right are 2013 prices deflated from the PDS Costs Model using the TPI index. They can be copied directly into cells B2:E129</t>
  </si>
  <si>
    <t>The repair costs per sq.m to the right are the original costs from the handover from Mat Gregory and can be copied directly into cells B2:E129.  They are 2016 prices inflated from the PDS Costs Model</t>
  </si>
  <si>
    <r>
      <t xml:space="preserve">Enter the complete path to the estate dataset here. In file explorer, click on the data and then click on </t>
    </r>
    <r>
      <rPr>
        <b/>
        <sz val="11"/>
        <color theme="1"/>
        <rFont val="Calibri"/>
        <family val="2"/>
        <scheme val="minor"/>
      </rPr>
      <t>Copy path</t>
    </r>
    <r>
      <rPr>
        <sz val="11"/>
        <color theme="1"/>
        <rFont val="Calibri"/>
        <family val="2"/>
        <scheme val="minor"/>
      </rPr>
      <t xml:space="preserve"> in the Clipboard panel of the </t>
    </r>
    <r>
      <rPr>
        <b/>
        <sz val="11"/>
        <color theme="1"/>
        <rFont val="Calibri"/>
        <family val="2"/>
        <scheme val="minor"/>
      </rPr>
      <t xml:space="preserve">Home </t>
    </r>
    <r>
      <rPr>
        <sz val="11"/>
        <color theme="1"/>
        <rFont val="Calibri"/>
        <family val="2"/>
        <scheme val="minor"/>
      </rPr>
      <t>tab.</t>
    </r>
  </si>
  <si>
    <t>On the right are the original deterioration rates derived from the Harris lifetime estimates .  These can be copied directly into the cells B2:E129 if you want to use them by clicking on the button below.</t>
  </si>
  <si>
    <t>On the right are the amended deterioration rates after QA by Roger Thomson.  These can be copied directly into the cells B2:E129 if you want to use them by clicking on the button below</t>
  </si>
  <si>
    <t>If you want to save the raw element-level and block-level data for each year, enter TRUE.  Otherwise enter FALSE. Saving interim data will use a lot of disk space so is not recommended.</t>
  </si>
  <si>
    <r>
      <t xml:space="preserve">This is the folder that contains the Blockbuster2 code.  Run the following command in R to find it: </t>
    </r>
    <r>
      <rPr>
        <sz val="11"/>
        <color theme="4"/>
        <rFont val="Lucida Console"/>
        <family val="3"/>
      </rPr>
      <t>print(find.package("blockbuster2"), quote = FALSE)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</si>
</sst>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Lucida Console"/>
      <family val="3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6" xfId="0" applyFill="1" applyBorder="1"/>
    <xf numFmtId="0" fontId="0" fillId="0" borderId="18" xfId="0" applyBorder="1"/>
    <xf numFmtId="0" fontId="0" fillId="0" borderId="19" xfId="0" applyBorder="1"/>
    <xf numFmtId="0" fontId="0" fillId="3" borderId="17" xfId="0" applyFill="1" applyBorder="1"/>
    <xf numFmtId="0" fontId="0" fillId="3" borderId="6" xfId="0" applyFill="1" applyBorder="1"/>
    <xf numFmtId="0" fontId="0" fillId="3" borderId="7" xfId="0" applyFill="1" applyBorder="1"/>
    <xf numFmtId="0" fontId="0" fillId="0" borderId="0" xfId="0" applyFont="1"/>
    <xf numFmtId="0" fontId="0" fillId="3" borderId="1" xfId="0" applyFont="1" applyFill="1" applyBorder="1"/>
    <xf numFmtId="0" fontId="0" fillId="0" borderId="1" xfId="0" applyFont="1" applyBorder="1"/>
    <xf numFmtId="0" fontId="0" fillId="3" borderId="11" xfId="0" applyFont="1" applyFill="1" applyBorder="1"/>
    <xf numFmtId="0" fontId="0" fillId="0" borderId="12" xfId="0" applyFont="1" applyBorder="1"/>
    <xf numFmtId="0" fontId="0" fillId="3" borderId="13" xfId="0" applyFont="1" applyFill="1" applyBorder="1"/>
    <xf numFmtId="0" fontId="0" fillId="3" borderId="14" xfId="0" applyFont="1" applyFill="1" applyBorder="1"/>
    <xf numFmtId="0" fontId="0" fillId="0" borderId="14" xfId="0" applyFont="1" applyBorder="1"/>
    <xf numFmtId="0" fontId="0" fillId="0" borderId="15" xfId="0" applyFont="1" applyBorder="1"/>
    <xf numFmtId="0" fontId="0" fillId="3" borderId="18" xfId="0" applyFont="1" applyFill="1" applyBorder="1"/>
    <xf numFmtId="0" fontId="0" fillId="3" borderId="2" xfId="0" applyFont="1" applyFill="1" applyBorder="1"/>
    <xf numFmtId="0" fontId="0" fillId="0" borderId="2" xfId="0" applyFont="1" applyBorder="1"/>
    <xf numFmtId="0" fontId="0" fillId="0" borderId="19" xfId="0" applyFont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2" borderId="5" xfId="0" applyFont="1" applyFill="1" applyBorder="1"/>
    <xf numFmtId="0" fontId="0" fillId="0" borderId="0" xfId="0" applyFont="1" applyBorder="1"/>
    <xf numFmtId="0" fontId="0" fillId="3" borderId="19" xfId="0" applyFont="1" applyFill="1" applyBorder="1"/>
    <xf numFmtId="0" fontId="0" fillId="3" borderId="12" xfId="0" applyFont="1" applyFill="1" applyBorder="1"/>
    <xf numFmtId="0" fontId="0" fillId="3" borderId="15" xfId="0" applyFont="1" applyFill="1" applyBorder="1"/>
    <xf numFmtId="0" fontId="0" fillId="0" borderId="0" xfId="0" applyFont="1" applyFill="1" applyBorder="1"/>
    <xf numFmtId="0" fontId="0" fillId="0" borderId="0" xfId="0" applyFont="1" applyFill="1"/>
    <xf numFmtId="11" fontId="0" fillId="0" borderId="1" xfId="0" applyNumberFormat="1" applyFont="1" applyBorder="1"/>
    <xf numFmtId="11" fontId="0" fillId="5" borderId="1" xfId="0" applyNumberFormat="1" applyFont="1" applyFill="1" applyBorder="1" applyAlignment="1">
      <alignment horizontal="right" vertical="center"/>
    </xf>
    <xf numFmtId="11" fontId="0" fillId="0" borderId="12" xfId="0" applyNumberFormat="1" applyFont="1" applyBorder="1"/>
    <xf numFmtId="11" fontId="0" fillId="5" borderId="12" xfId="0" applyNumberFormat="1" applyFont="1" applyFill="1" applyBorder="1" applyAlignment="1">
      <alignment horizontal="right" vertical="center"/>
    </xf>
    <xf numFmtId="11" fontId="0" fillId="5" borderId="14" xfId="0" applyNumberFormat="1" applyFont="1" applyFill="1" applyBorder="1" applyAlignment="1">
      <alignment horizontal="right" vertical="center"/>
    </xf>
    <xf numFmtId="11" fontId="0" fillId="5" borderId="15" xfId="0" applyNumberFormat="1" applyFont="1" applyFill="1" applyBorder="1" applyAlignment="1">
      <alignment horizontal="right" vertical="center"/>
    </xf>
    <xf numFmtId="11" fontId="0" fillId="0" borderId="2" xfId="0" applyNumberFormat="1" applyFont="1" applyBorder="1"/>
    <xf numFmtId="11" fontId="0" fillId="0" borderId="19" xfId="0" applyNumberFormat="1" applyFont="1" applyBorder="1"/>
    <xf numFmtId="11" fontId="0" fillId="3" borderId="18" xfId="0" applyNumberFormat="1" applyFont="1" applyFill="1" applyBorder="1"/>
    <xf numFmtId="11" fontId="0" fillId="3" borderId="2" xfId="0" applyNumberFormat="1" applyFont="1" applyFill="1" applyBorder="1"/>
    <xf numFmtId="11" fontId="0" fillId="3" borderId="19" xfId="0" applyNumberFormat="1" applyFont="1" applyFill="1" applyBorder="1"/>
    <xf numFmtId="11" fontId="0" fillId="3" borderId="11" xfId="0" applyNumberFormat="1" applyFont="1" applyFill="1" applyBorder="1"/>
    <xf numFmtId="11" fontId="0" fillId="3" borderId="1" xfId="0" applyNumberFormat="1" applyFont="1" applyFill="1" applyBorder="1"/>
    <xf numFmtId="11" fontId="0" fillId="3" borderId="12" xfId="0" applyNumberFormat="1" applyFont="1" applyFill="1" applyBorder="1"/>
    <xf numFmtId="11" fontId="0" fillId="3" borderId="11" xfId="0" applyNumberFormat="1" applyFont="1" applyFill="1" applyBorder="1" applyAlignment="1">
      <alignment horizontal="right" vertical="center"/>
    </xf>
    <xf numFmtId="11" fontId="0" fillId="3" borderId="1" xfId="0" applyNumberFormat="1" applyFont="1" applyFill="1" applyBorder="1" applyAlignment="1">
      <alignment horizontal="right" vertical="center"/>
    </xf>
    <xf numFmtId="11" fontId="0" fillId="3" borderId="12" xfId="0" applyNumberFormat="1" applyFont="1" applyFill="1" applyBorder="1" applyAlignment="1">
      <alignment horizontal="right" vertical="center"/>
    </xf>
    <xf numFmtId="11" fontId="0" fillId="3" borderId="13" xfId="0" applyNumberFormat="1" applyFont="1" applyFill="1" applyBorder="1" applyAlignment="1">
      <alignment horizontal="right" vertical="center"/>
    </xf>
    <xf numFmtId="11" fontId="0" fillId="3" borderId="14" xfId="0" applyNumberFormat="1" applyFont="1" applyFill="1" applyBorder="1" applyAlignment="1">
      <alignment horizontal="right" vertical="center"/>
    </xf>
    <xf numFmtId="11" fontId="0" fillId="3" borderId="15" xfId="0" applyNumberFormat="1" applyFont="1" applyFill="1" applyBorder="1" applyAlignment="1">
      <alignment horizontal="right" vertical="center"/>
    </xf>
    <xf numFmtId="0" fontId="0" fillId="0" borderId="0" xfId="0" applyAlignment="1">
      <alignment wrapText="1"/>
    </xf>
    <xf numFmtId="0" fontId="0" fillId="3" borderId="8" xfId="0" applyFill="1" applyBorder="1" applyAlignment="1">
      <alignment wrapText="1"/>
    </xf>
    <xf numFmtId="0" fontId="0" fillId="0" borderId="9" xfId="0" applyBorder="1" applyAlignment="1">
      <alignment horizontal="center" wrapText="1"/>
    </xf>
    <xf numFmtId="0" fontId="0" fillId="4" borderId="10" xfId="0" applyFill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0" xfId="0" applyAlignment="1"/>
    <xf numFmtId="0" fontId="0" fillId="2" borderId="0" xfId="0" applyFont="1" applyFill="1"/>
    <xf numFmtId="0" fontId="0" fillId="0" borderId="0" xfId="0" applyFont="1" applyBorder="1" applyAlignment="1">
      <alignment horizontal="left" vertical="center" wrapText="1"/>
    </xf>
    <xf numFmtId="0" fontId="0" fillId="0" borderId="20" xfId="0" applyFont="1" applyBorder="1" applyAlignment="1">
      <alignment horizontal="left" vertical="center" wrapText="1"/>
    </xf>
    <xf numFmtId="0" fontId="0" fillId="0" borderId="21" xfId="0" applyFont="1" applyBorder="1" applyAlignment="1">
      <alignment horizontal="left" vertical="center" wrapText="1"/>
    </xf>
    <xf numFmtId="0" fontId="0" fillId="0" borderId="2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509588</xdr:colOff>
          <xdr:row>17</xdr:row>
          <xdr:rowOff>166688</xdr:rowOff>
        </xdr:from>
        <xdr:to>
          <xdr:col>0</xdr:col>
          <xdr:colOff>4876800</xdr:colOff>
          <xdr:row>21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161925</xdr:colOff>
      <xdr:row>0</xdr:row>
      <xdr:rowOff>171451</xdr:rowOff>
    </xdr:from>
    <xdr:to>
      <xdr:col>0</xdr:col>
      <xdr:colOff>9996488</xdr:colOff>
      <xdr:row>16</xdr:row>
      <xdr:rowOff>166688</xdr:rowOff>
    </xdr:to>
    <xdr:sp macro="" textlink="">
      <xdr:nvSpPr>
        <xdr:cNvPr id="2" name="TextBox 1"/>
        <xdr:cNvSpPr txBox="1"/>
      </xdr:nvSpPr>
      <xdr:spPr>
        <a:xfrm>
          <a:off x="161925" y="171451"/>
          <a:ext cx="9834563" cy="32527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run the blockbuster model the following must be set-up correctly:</a:t>
          </a:r>
        </a:p>
        <a:p>
          <a:endParaRPr lang="en-GB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You must have R installed (v3.4 or later)</a:t>
          </a:r>
          <a:r>
            <a:rPr lang="en-GB"/>
            <a:t> 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You must have installed the "blockbuster2" package from github. Instructions on how to do this can be found at: </a:t>
          </a:r>
          <a:r>
            <a:rPr lang="en-GB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INSERT WEBLINK HERE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You must have 64 bit Java installed.</a:t>
          </a: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You can check this by opening a command prompt (this is in the Windows System folder of your start menu) and entering the command </a:t>
          </a:r>
          <a:r>
            <a:rPr lang="en-GB" sz="1100" b="0" i="0" u="none" strike="noStrike">
              <a:solidFill>
                <a:schemeClr val="accent1"/>
              </a:solidFill>
              <a:effectLst/>
              <a:latin typeface="Lucida Console" panose="020B0609040504020204" pitchFamily="49" charset="0"/>
              <a:ea typeface="+mn-ea"/>
              <a:cs typeface="+mn-cs"/>
            </a:rPr>
            <a:t>java -version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If it says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"64-bit" anywhere then you have the right version.  If you do not, 64-bit java can be requested from IT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installed through the software centre.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You must have downloaded the correct estate data for the model.  Datasets can be found on sharepoint at: </a:t>
          </a:r>
          <a:r>
            <a:rPr lang="en-GB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INSERT WEBLINK HERE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The cells B1, B10 and B11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Model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worksheet need to have the correct paths to the data, R and the blockbuster code respectively.  Instructions on how to do this can be found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Model 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worksheet.6) Set the other options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Model 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worksheet as desired.  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Select the repair costs you want to use for the initial data by clicking on the appropriate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 on the </a:t>
          </a:r>
          <a:r>
            <a:rPr lang="en-GB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Repair costs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tab.  The values used by the model are the ones in cells B2:E129.  These can be manually adjusted.</a:t>
          </a: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8) Select the deterioration rates to use (either the original rates derived from EC Harris, or the rates after QA by Roger Thompson). 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values used by the model are the ones in cells B2:E129.  These can be manually adjusted.</a:t>
          </a: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9) Save this excel file in the folder that you wish to contain the word and excel output and make sure this file is named </a:t>
          </a:r>
          <a:r>
            <a:rPr lang="en-GB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 input.xlsm</a:t>
          </a: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10) Press the button below - Note that runs may take several hours if you are forecasting for many years over the complete PDS data with large spends.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22</xdr:row>
          <xdr:rowOff>95251</xdr:rowOff>
        </xdr:from>
        <xdr:to>
          <xdr:col>0</xdr:col>
          <xdr:colOff>9953625</xdr:colOff>
          <xdr:row>33</xdr:row>
          <xdr:rowOff>85726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176213</xdr:colOff>
          <xdr:row>16</xdr:row>
          <xdr:rowOff>123825</xdr:rowOff>
        </xdr:from>
        <xdr:to>
          <xdr:col>9</xdr:col>
          <xdr:colOff>1376363</xdr:colOff>
          <xdr:row>19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original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157163</xdr:colOff>
          <xdr:row>16</xdr:row>
          <xdr:rowOff>95250</xdr:rowOff>
        </xdr:from>
        <xdr:to>
          <xdr:col>16</xdr:col>
          <xdr:colOff>1376363</xdr:colOff>
          <xdr:row>19</xdr:row>
          <xdr:rowOff>71438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quality assured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328613</xdr:colOff>
          <xdr:row>16</xdr:row>
          <xdr:rowOff>19050</xdr:rowOff>
        </xdr:from>
        <xdr:to>
          <xdr:col>9</xdr:col>
          <xdr:colOff>2066925</xdr:colOff>
          <xdr:row>20</xdr:row>
          <xdr:rowOff>66675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171450</xdr:rowOff>
        </xdr:from>
        <xdr:to>
          <xdr:col>16</xdr:col>
          <xdr:colOff>2033588</xdr:colOff>
          <xdr:row>20</xdr:row>
          <xdr:rowOff>38100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328613</xdr:colOff>
          <xdr:row>15</xdr:row>
          <xdr:rowOff>152400</xdr:rowOff>
        </xdr:from>
        <xdr:to>
          <xdr:col>23</xdr:col>
          <xdr:colOff>2066925</xdr:colOff>
          <xdr:row>20</xdr:row>
          <xdr:rowOff>19050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300038</xdr:colOff>
          <xdr:row>15</xdr:row>
          <xdr:rowOff>123825</xdr:rowOff>
        </xdr:from>
        <xdr:to>
          <xdr:col>30</xdr:col>
          <xdr:colOff>2038350</xdr:colOff>
          <xdr:row>19</xdr:row>
          <xdr:rowOff>171450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309563</xdr:colOff>
          <xdr:row>15</xdr:row>
          <xdr:rowOff>138113</xdr:rowOff>
        </xdr:from>
        <xdr:to>
          <xdr:col>37</xdr:col>
          <xdr:colOff>2047875</xdr:colOff>
          <xdr:row>20</xdr:row>
          <xdr:rowOff>4763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"/>
  <sheetViews>
    <sheetView tabSelected="1" topLeftCell="A6" workbookViewId="0">
      <selection activeCell="A15" sqref="A15"/>
    </sheetView>
  </sheetViews>
  <sheetFormatPr defaultColWidth="9.1328125" defaultRowHeight="14.25" x14ac:dyDescent="0.45"/>
  <cols>
    <col min="1" max="1" width="147.86328125" style="60" customWidth="1" collapsed="1"/>
    <col min="2" max="16384" width="9.1328125" style="60" collapsed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TextBox1">
          <controlPr defaultSize="0" autoLine="0" autoPict="0" r:id="rId5">
            <anchor moveWithCells="1">
              <from>
                <xdr:col>0</xdr:col>
                <xdr:colOff>314325</xdr:colOff>
                <xdr:row>22</xdr:row>
                <xdr:rowOff>95250</xdr:rowOff>
              </from>
              <to>
                <xdr:col>0</xdr:col>
                <xdr:colOff>9953625</xdr:colOff>
                <xdr:row>33</xdr:row>
                <xdr:rowOff>85725</xdr:rowOff>
              </to>
            </anchor>
          </controlPr>
        </control>
      </mc:Choice>
      <mc:Fallback>
        <control shapeId="2050" r:id="rId4" name="TextBox1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>
              <from>
                <xdr:col>0</xdr:col>
                <xdr:colOff>509588</xdr:colOff>
                <xdr:row>17</xdr:row>
                <xdr:rowOff>166688</xdr:rowOff>
              </from>
              <to>
                <xdr:col>0</xdr:col>
                <xdr:colOff>4876800</xdr:colOff>
                <xdr:row>21</xdr:row>
                <xdr:rowOff>114300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E11"/>
  <sheetViews>
    <sheetView workbookViewId="0">
      <selection activeCell="E10" sqref="E10"/>
    </sheetView>
  </sheetViews>
  <sheetFormatPr defaultRowHeight="14.25" x14ac:dyDescent="0.45"/>
  <cols>
    <col min="1" max="1" width="9.06640625" style="60"/>
    <col min="2" max="2" width="39.33203125" style="60" customWidth="1"/>
    <col min="3" max="3" width="65.46484375" style="60" customWidth="1"/>
    <col min="4" max="4" width="9.06640625" style="60"/>
    <col min="5" max="5" width="40.33203125" style="60" customWidth="1"/>
    <col min="6" max="16384" width="9.06640625" style="60"/>
  </cols>
  <sheetData>
    <row r="1" spans="1:5" ht="28.9" thickBot="1" x14ac:dyDescent="0.5">
      <c r="A1" s="66" t="s">
        <v>179</v>
      </c>
      <c r="B1" s="64"/>
      <c r="C1" s="67" t="s">
        <v>208</v>
      </c>
      <c r="E1" s="64"/>
    </row>
    <row r="2" spans="1:5" ht="28.5" x14ac:dyDescent="0.45">
      <c r="A2" s="61" t="s">
        <v>0</v>
      </c>
      <c r="B2" s="62">
        <v>6</v>
      </c>
      <c r="C2" s="63" t="s">
        <v>6</v>
      </c>
    </row>
    <row r="3" spans="1:5" ht="42.75" x14ac:dyDescent="0.45">
      <c r="A3" s="66" t="s">
        <v>5</v>
      </c>
      <c r="B3" s="64">
        <v>2434</v>
      </c>
      <c r="C3" s="67" t="s">
        <v>184</v>
      </c>
    </row>
    <row r="4" spans="1:5" ht="28.5" x14ac:dyDescent="0.45">
      <c r="A4" s="66" t="s">
        <v>4</v>
      </c>
      <c r="B4" s="64" t="s">
        <v>178</v>
      </c>
      <c r="C4" s="67" t="s">
        <v>185</v>
      </c>
    </row>
    <row r="5" spans="1:5" ht="28.5" x14ac:dyDescent="0.45">
      <c r="A5" s="66" t="s">
        <v>162</v>
      </c>
      <c r="B5" s="64" t="b">
        <v>0</v>
      </c>
      <c r="C5" s="67" t="s">
        <v>186</v>
      </c>
    </row>
    <row r="6" spans="1:5" ht="42.75" x14ac:dyDescent="0.45">
      <c r="A6" s="66" t="s">
        <v>182</v>
      </c>
      <c r="B6" s="64" t="b">
        <v>0</v>
      </c>
      <c r="C6" s="67" t="s">
        <v>211</v>
      </c>
    </row>
    <row r="7" spans="1:5" ht="28.5" x14ac:dyDescent="0.45">
      <c r="A7" s="66" t="s">
        <v>201</v>
      </c>
      <c r="B7" s="64">
        <v>2020</v>
      </c>
      <c r="C7" s="67" t="s">
        <v>202</v>
      </c>
    </row>
    <row r="9" spans="1:5" x14ac:dyDescent="0.45">
      <c r="A9" s="68" t="s">
        <v>183</v>
      </c>
    </row>
    <row r="10" spans="1:5" ht="42.75" x14ac:dyDescent="0.45">
      <c r="A10" s="66" t="s">
        <v>180</v>
      </c>
      <c r="B10" s="65"/>
      <c r="C10" s="67" t="s">
        <v>204</v>
      </c>
    </row>
    <row r="11" spans="1:5" ht="42.75" x14ac:dyDescent="0.45">
      <c r="A11" s="66" t="s">
        <v>181</v>
      </c>
      <c r="B11" s="65"/>
      <c r="C11" s="67" t="s">
        <v>212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101"/>
  <sheetViews>
    <sheetView workbookViewId="0">
      <selection activeCell="B2" sqref="B2:B7"/>
    </sheetView>
  </sheetViews>
  <sheetFormatPr defaultRowHeight="14.25" x14ac:dyDescent="0.45"/>
  <cols>
    <col min="2" max="4" width="15.1328125" customWidth="1" collapsed="1"/>
    <col min="6" max="6" width="21.1328125" customWidth="1" collapsed="1"/>
    <col min="7" max="7" width="22.86328125" style="1" customWidth="1" collapsed="1"/>
    <col min="8" max="8" width="108.86328125" customWidth="1" collapsed="1"/>
  </cols>
  <sheetData>
    <row r="1" spans="1:4" ht="14.65" thickBot="1" x14ac:dyDescent="0.5">
      <c r="A1" s="9" t="s">
        <v>7</v>
      </c>
      <c r="B1" s="12" t="s">
        <v>2</v>
      </c>
      <c r="C1" s="10" t="s">
        <v>1</v>
      </c>
      <c r="D1" s="11" t="s">
        <v>3</v>
      </c>
    </row>
    <row r="2" spans="1:4" x14ac:dyDescent="0.45">
      <c r="A2" s="15" t="s">
        <v>192</v>
      </c>
      <c r="B2" s="13">
        <v>1506000000</v>
      </c>
      <c r="C2" s="3">
        <f>(5 + 484 *  317/343 ) * 1000000</f>
        <v>452311953.35276973</v>
      </c>
      <c r="D2" s="14">
        <v>1</v>
      </c>
    </row>
    <row r="3" spans="1:4" x14ac:dyDescent="0.45">
      <c r="A3" s="16" t="s">
        <v>193</v>
      </c>
      <c r="B3" s="4">
        <v>1527000000</v>
      </c>
      <c r="C3" s="2">
        <f>(65 + 112 * 317 / 362) *1000000</f>
        <v>163077348.06629834</v>
      </c>
      <c r="D3" s="5">
        <v>1</v>
      </c>
    </row>
    <row r="4" spans="1:4" x14ac:dyDescent="0.45">
      <c r="A4" s="16" t="s">
        <v>194</v>
      </c>
      <c r="B4" s="4">
        <v>1542000000</v>
      </c>
      <c r="C4" s="2">
        <v>325000000</v>
      </c>
      <c r="D4" s="5">
        <v>1</v>
      </c>
    </row>
    <row r="5" spans="1:4" x14ac:dyDescent="0.45">
      <c r="A5" s="16" t="s">
        <v>195</v>
      </c>
      <c r="B5" s="4">
        <v>1555000000</v>
      </c>
      <c r="C5" s="2">
        <v>760000000</v>
      </c>
      <c r="D5" s="5">
        <v>1</v>
      </c>
    </row>
    <row r="6" spans="1:4" x14ac:dyDescent="0.45">
      <c r="A6" s="16" t="s">
        <v>196</v>
      </c>
      <c r="B6" s="4">
        <v>1566000000</v>
      </c>
      <c r="C6" s="2">
        <v>1290000000</v>
      </c>
      <c r="D6" s="5">
        <v>1</v>
      </c>
    </row>
    <row r="7" spans="1:4" x14ac:dyDescent="0.45">
      <c r="A7" s="16" t="s">
        <v>197</v>
      </c>
      <c r="B7" s="4">
        <v>1572000000</v>
      </c>
      <c r="C7" s="2">
        <v>2200000000</v>
      </c>
      <c r="D7" s="5">
        <v>1</v>
      </c>
    </row>
    <row r="8" spans="1:4" x14ac:dyDescent="0.45">
      <c r="A8" s="16" t="s">
        <v>198</v>
      </c>
      <c r="B8" s="4">
        <v>1400000000</v>
      </c>
      <c r="C8" s="2">
        <v>1570000000</v>
      </c>
      <c r="D8" s="5">
        <v>1</v>
      </c>
    </row>
    <row r="9" spans="1:4" x14ac:dyDescent="0.45">
      <c r="A9" s="16" t="s">
        <v>200</v>
      </c>
      <c r="B9" s="4">
        <v>1400000000</v>
      </c>
      <c r="C9" s="2">
        <v>910000000</v>
      </c>
      <c r="D9" s="5">
        <v>1</v>
      </c>
    </row>
    <row r="10" spans="1:4" x14ac:dyDescent="0.45">
      <c r="A10" s="16" t="s">
        <v>199</v>
      </c>
      <c r="B10" s="4">
        <v>1400000000</v>
      </c>
      <c r="C10" s="2">
        <v>190000000</v>
      </c>
      <c r="D10" s="5">
        <v>1</v>
      </c>
    </row>
    <row r="11" spans="1:4" x14ac:dyDescent="0.45">
      <c r="A11" s="16"/>
      <c r="B11" s="4">
        <v>0</v>
      </c>
      <c r="C11" s="2">
        <v>0</v>
      </c>
      <c r="D11" s="5">
        <v>1</v>
      </c>
    </row>
    <row r="12" spans="1:4" x14ac:dyDescent="0.45">
      <c r="A12" s="16"/>
      <c r="B12" s="4">
        <v>0</v>
      </c>
      <c r="C12" s="2">
        <v>0</v>
      </c>
      <c r="D12" s="5">
        <v>1</v>
      </c>
    </row>
    <row r="13" spans="1:4" x14ac:dyDescent="0.45">
      <c r="A13" s="16"/>
      <c r="B13" s="4">
        <v>0</v>
      </c>
      <c r="C13" s="2">
        <v>0</v>
      </c>
      <c r="D13" s="5">
        <v>1</v>
      </c>
    </row>
    <row r="14" spans="1:4" x14ac:dyDescent="0.45">
      <c r="A14" s="16"/>
      <c r="B14" s="4">
        <v>0</v>
      </c>
      <c r="C14" s="2">
        <v>0</v>
      </c>
      <c r="D14" s="5">
        <v>1</v>
      </c>
    </row>
    <row r="15" spans="1:4" x14ac:dyDescent="0.45">
      <c r="A15" s="16"/>
      <c r="B15" s="4">
        <v>0</v>
      </c>
      <c r="C15" s="2">
        <v>0</v>
      </c>
      <c r="D15" s="5">
        <v>1</v>
      </c>
    </row>
    <row r="16" spans="1:4" x14ac:dyDescent="0.45">
      <c r="A16" s="16"/>
      <c r="B16" s="4">
        <v>0</v>
      </c>
      <c r="C16" s="2">
        <v>0</v>
      </c>
      <c r="D16" s="5">
        <v>1</v>
      </c>
    </row>
    <row r="17" spans="1:4" x14ac:dyDescent="0.45">
      <c r="A17" s="16"/>
      <c r="B17" s="4">
        <v>0</v>
      </c>
      <c r="C17" s="2">
        <v>0</v>
      </c>
      <c r="D17" s="5">
        <v>1</v>
      </c>
    </row>
    <row r="18" spans="1:4" x14ac:dyDescent="0.45">
      <c r="A18" s="16"/>
      <c r="B18" s="4">
        <v>0</v>
      </c>
      <c r="C18" s="2">
        <v>0</v>
      </c>
      <c r="D18" s="5">
        <v>1</v>
      </c>
    </row>
    <row r="19" spans="1:4" x14ac:dyDescent="0.45">
      <c r="A19" s="16"/>
      <c r="B19" s="4">
        <v>0</v>
      </c>
      <c r="C19" s="2">
        <v>0</v>
      </c>
      <c r="D19" s="5">
        <v>1</v>
      </c>
    </row>
    <row r="20" spans="1:4" x14ac:dyDescent="0.45">
      <c r="A20" s="16"/>
      <c r="B20" s="4">
        <v>0</v>
      </c>
      <c r="C20" s="2">
        <v>0</v>
      </c>
      <c r="D20" s="5">
        <v>1</v>
      </c>
    </row>
    <row r="21" spans="1:4" x14ac:dyDescent="0.45">
      <c r="A21" s="16"/>
      <c r="B21" s="4">
        <v>0</v>
      </c>
      <c r="C21" s="2">
        <v>0</v>
      </c>
      <c r="D21" s="5">
        <v>1</v>
      </c>
    </row>
    <row r="22" spans="1:4" x14ac:dyDescent="0.45">
      <c r="A22" s="16"/>
      <c r="B22" s="4">
        <v>0</v>
      </c>
      <c r="C22" s="2">
        <v>0</v>
      </c>
      <c r="D22" s="5">
        <v>1</v>
      </c>
    </row>
    <row r="23" spans="1:4" x14ac:dyDescent="0.45">
      <c r="A23" s="16"/>
      <c r="B23" s="4">
        <v>0</v>
      </c>
      <c r="C23" s="2">
        <v>0</v>
      </c>
      <c r="D23" s="5">
        <v>1</v>
      </c>
    </row>
    <row r="24" spans="1:4" x14ac:dyDescent="0.45">
      <c r="A24" s="16"/>
      <c r="B24" s="4">
        <v>0</v>
      </c>
      <c r="C24" s="2">
        <v>0</v>
      </c>
      <c r="D24" s="5">
        <v>1</v>
      </c>
    </row>
    <row r="25" spans="1:4" x14ac:dyDescent="0.45">
      <c r="A25" s="16"/>
      <c r="B25" s="4">
        <v>0</v>
      </c>
      <c r="C25" s="2">
        <v>0</v>
      </c>
      <c r="D25" s="5">
        <v>1</v>
      </c>
    </row>
    <row r="26" spans="1:4" x14ac:dyDescent="0.45">
      <c r="A26" s="16"/>
      <c r="B26" s="4">
        <v>0</v>
      </c>
      <c r="C26" s="2">
        <v>0</v>
      </c>
      <c r="D26" s="5">
        <v>1</v>
      </c>
    </row>
    <row r="27" spans="1:4" x14ac:dyDescent="0.45">
      <c r="A27" s="16"/>
      <c r="B27" s="4">
        <v>0</v>
      </c>
      <c r="C27" s="2">
        <v>0</v>
      </c>
      <c r="D27" s="5">
        <v>1</v>
      </c>
    </row>
    <row r="28" spans="1:4" x14ac:dyDescent="0.45">
      <c r="A28" s="16"/>
      <c r="B28" s="4">
        <v>0</v>
      </c>
      <c r="C28" s="2">
        <v>0</v>
      </c>
      <c r="D28" s="5">
        <v>1</v>
      </c>
    </row>
    <row r="29" spans="1:4" x14ac:dyDescent="0.45">
      <c r="A29" s="16"/>
      <c r="B29" s="4">
        <v>0</v>
      </c>
      <c r="C29" s="2">
        <v>0</v>
      </c>
      <c r="D29" s="5">
        <v>1</v>
      </c>
    </row>
    <row r="30" spans="1:4" x14ac:dyDescent="0.45">
      <c r="A30" s="16"/>
      <c r="B30" s="4">
        <v>0</v>
      </c>
      <c r="C30" s="2">
        <v>0</v>
      </c>
      <c r="D30" s="5">
        <v>1</v>
      </c>
    </row>
    <row r="31" spans="1:4" x14ac:dyDescent="0.45">
      <c r="A31" s="16"/>
      <c r="B31" s="4">
        <v>0</v>
      </c>
      <c r="C31" s="2">
        <v>0</v>
      </c>
      <c r="D31" s="5">
        <v>1</v>
      </c>
    </row>
    <row r="32" spans="1:4" x14ac:dyDescent="0.45">
      <c r="A32" s="16"/>
      <c r="B32" s="4">
        <v>0</v>
      </c>
      <c r="C32" s="2">
        <v>0</v>
      </c>
      <c r="D32" s="5">
        <v>1</v>
      </c>
    </row>
    <row r="33" spans="1:4" x14ac:dyDescent="0.45">
      <c r="A33" s="16"/>
      <c r="B33" s="4">
        <v>0</v>
      </c>
      <c r="C33" s="2">
        <v>0</v>
      </c>
      <c r="D33" s="5">
        <v>1</v>
      </c>
    </row>
    <row r="34" spans="1:4" x14ac:dyDescent="0.45">
      <c r="A34" s="16"/>
      <c r="B34" s="4">
        <v>0</v>
      </c>
      <c r="C34" s="2">
        <v>0</v>
      </c>
      <c r="D34" s="5">
        <v>1</v>
      </c>
    </row>
    <row r="35" spans="1:4" x14ac:dyDescent="0.45">
      <c r="A35" s="16"/>
      <c r="B35" s="4">
        <v>0</v>
      </c>
      <c r="C35" s="2">
        <v>0</v>
      </c>
      <c r="D35" s="5">
        <v>1</v>
      </c>
    </row>
    <row r="36" spans="1:4" x14ac:dyDescent="0.45">
      <c r="A36" s="16"/>
      <c r="B36" s="4">
        <v>0</v>
      </c>
      <c r="C36" s="2">
        <v>0</v>
      </c>
      <c r="D36" s="5">
        <v>1</v>
      </c>
    </row>
    <row r="37" spans="1:4" x14ac:dyDescent="0.45">
      <c r="A37" s="16"/>
      <c r="B37" s="4">
        <v>0</v>
      </c>
      <c r="C37" s="2">
        <v>0</v>
      </c>
      <c r="D37" s="5">
        <v>1</v>
      </c>
    </row>
    <row r="38" spans="1:4" x14ac:dyDescent="0.45">
      <c r="A38" s="16"/>
      <c r="B38" s="4">
        <v>0</v>
      </c>
      <c r="C38" s="2">
        <v>0</v>
      </c>
      <c r="D38" s="5">
        <v>1</v>
      </c>
    </row>
    <row r="39" spans="1:4" x14ac:dyDescent="0.45">
      <c r="A39" s="16"/>
      <c r="B39" s="4">
        <v>0</v>
      </c>
      <c r="C39" s="2">
        <v>0</v>
      </c>
      <c r="D39" s="5">
        <v>1</v>
      </c>
    </row>
    <row r="40" spans="1:4" x14ac:dyDescent="0.45">
      <c r="A40" s="16"/>
      <c r="B40" s="4">
        <v>0</v>
      </c>
      <c r="C40" s="2">
        <v>0</v>
      </c>
      <c r="D40" s="5">
        <v>1</v>
      </c>
    </row>
    <row r="41" spans="1:4" x14ac:dyDescent="0.45">
      <c r="A41" s="16"/>
      <c r="B41" s="4">
        <v>0</v>
      </c>
      <c r="C41" s="2">
        <v>0</v>
      </c>
      <c r="D41" s="5">
        <v>1</v>
      </c>
    </row>
    <row r="42" spans="1:4" x14ac:dyDescent="0.45">
      <c r="A42" s="16"/>
      <c r="B42" s="4">
        <v>0</v>
      </c>
      <c r="C42" s="2">
        <v>0</v>
      </c>
      <c r="D42" s="5">
        <v>1</v>
      </c>
    </row>
    <row r="43" spans="1:4" x14ac:dyDescent="0.45">
      <c r="A43" s="16"/>
      <c r="B43" s="4">
        <v>0</v>
      </c>
      <c r="C43" s="2">
        <v>0</v>
      </c>
      <c r="D43" s="5">
        <v>1</v>
      </c>
    </row>
    <row r="44" spans="1:4" x14ac:dyDescent="0.45">
      <c r="A44" s="16"/>
      <c r="B44" s="4">
        <v>0</v>
      </c>
      <c r="C44" s="2">
        <v>0</v>
      </c>
      <c r="D44" s="5">
        <v>1</v>
      </c>
    </row>
    <row r="45" spans="1:4" x14ac:dyDescent="0.45">
      <c r="A45" s="16"/>
      <c r="B45" s="4">
        <v>0</v>
      </c>
      <c r="C45" s="2">
        <v>0</v>
      </c>
      <c r="D45" s="5">
        <v>1</v>
      </c>
    </row>
    <row r="46" spans="1:4" x14ac:dyDescent="0.45">
      <c r="A46" s="16"/>
      <c r="B46" s="4">
        <v>0</v>
      </c>
      <c r="C46" s="2">
        <v>0</v>
      </c>
      <c r="D46" s="5">
        <v>1</v>
      </c>
    </row>
    <row r="47" spans="1:4" x14ac:dyDescent="0.45">
      <c r="A47" s="16"/>
      <c r="B47" s="4">
        <v>0</v>
      </c>
      <c r="C47" s="2">
        <v>0</v>
      </c>
      <c r="D47" s="5">
        <v>1</v>
      </c>
    </row>
    <row r="48" spans="1:4" x14ac:dyDescent="0.45">
      <c r="A48" s="16"/>
      <c r="B48" s="4">
        <v>0</v>
      </c>
      <c r="C48" s="2">
        <v>0</v>
      </c>
      <c r="D48" s="5">
        <v>1</v>
      </c>
    </row>
    <row r="49" spans="1:4" x14ac:dyDescent="0.45">
      <c r="A49" s="16"/>
      <c r="B49" s="4">
        <v>0</v>
      </c>
      <c r="C49" s="2">
        <v>0</v>
      </c>
      <c r="D49" s="5">
        <v>1</v>
      </c>
    </row>
    <row r="50" spans="1:4" x14ac:dyDescent="0.45">
      <c r="A50" s="16"/>
      <c r="B50" s="4">
        <v>0</v>
      </c>
      <c r="C50" s="2">
        <v>0</v>
      </c>
      <c r="D50" s="5">
        <v>1</v>
      </c>
    </row>
    <row r="51" spans="1:4" x14ac:dyDescent="0.45">
      <c r="A51" s="16"/>
      <c r="B51" s="4">
        <v>0</v>
      </c>
      <c r="C51" s="2">
        <v>0</v>
      </c>
      <c r="D51" s="5">
        <v>1</v>
      </c>
    </row>
    <row r="52" spans="1:4" x14ac:dyDescent="0.45">
      <c r="A52" s="16"/>
      <c r="B52" s="4">
        <v>0</v>
      </c>
      <c r="C52" s="2">
        <v>0</v>
      </c>
      <c r="D52" s="5">
        <v>1</v>
      </c>
    </row>
    <row r="53" spans="1:4" x14ac:dyDescent="0.45">
      <c r="A53" s="16"/>
      <c r="B53" s="4">
        <v>0</v>
      </c>
      <c r="C53" s="2">
        <v>0</v>
      </c>
      <c r="D53" s="5">
        <v>1</v>
      </c>
    </row>
    <row r="54" spans="1:4" x14ac:dyDescent="0.45">
      <c r="A54" s="16"/>
      <c r="B54" s="4">
        <v>0</v>
      </c>
      <c r="C54" s="2">
        <v>0</v>
      </c>
      <c r="D54" s="5">
        <v>1</v>
      </c>
    </row>
    <row r="55" spans="1:4" x14ac:dyDescent="0.45">
      <c r="A55" s="16"/>
      <c r="B55" s="4">
        <v>0</v>
      </c>
      <c r="C55" s="2">
        <v>0</v>
      </c>
      <c r="D55" s="5">
        <v>1</v>
      </c>
    </row>
    <row r="56" spans="1:4" x14ac:dyDescent="0.45">
      <c r="A56" s="16"/>
      <c r="B56" s="4">
        <v>0</v>
      </c>
      <c r="C56" s="2">
        <v>0</v>
      </c>
      <c r="D56" s="5">
        <v>1</v>
      </c>
    </row>
    <row r="57" spans="1:4" x14ac:dyDescent="0.45">
      <c r="A57" s="16"/>
      <c r="B57" s="4">
        <v>0</v>
      </c>
      <c r="C57" s="2">
        <v>0</v>
      </c>
      <c r="D57" s="5">
        <v>1</v>
      </c>
    </row>
    <row r="58" spans="1:4" x14ac:dyDescent="0.45">
      <c r="A58" s="16"/>
      <c r="B58" s="4">
        <v>0</v>
      </c>
      <c r="C58" s="2">
        <v>0</v>
      </c>
      <c r="D58" s="5">
        <v>1</v>
      </c>
    </row>
    <row r="59" spans="1:4" x14ac:dyDescent="0.45">
      <c r="A59" s="16"/>
      <c r="B59" s="4">
        <v>0</v>
      </c>
      <c r="C59" s="2">
        <v>0</v>
      </c>
      <c r="D59" s="5">
        <v>1</v>
      </c>
    </row>
    <row r="60" spans="1:4" x14ac:dyDescent="0.45">
      <c r="A60" s="16"/>
      <c r="B60" s="4">
        <v>0</v>
      </c>
      <c r="C60" s="2">
        <v>0</v>
      </c>
      <c r="D60" s="5">
        <v>1</v>
      </c>
    </row>
    <row r="61" spans="1:4" x14ac:dyDescent="0.45">
      <c r="A61" s="16"/>
      <c r="B61" s="4">
        <v>0</v>
      </c>
      <c r="C61" s="2">
        <v>0</v>
      </c>
      <c r="D61" s="5">
        <v>1</v>
      </c>
    </row>
    <row r="62" spans="1:4" x14ac:dyDescent="0.45">
      <c r="A62" s="16"/>
      <c r="B62" s="4">
        <v>0</v>
      </c>
      <c r="C62" s="2">
        <v>0</v>
      </c>
      <c r="D62" s="5">
        <v>1</v>
      </c>
    </row>
    <row r="63" spans="1:4" x14ac:dyDescent="0.45">
      <c r="A63" s="16"/>
      <c r="B63" s="4">
        <v>0</v>
      </c>
      <c r="C63" s="2">
        <v>0</v>
      </c>
      <c r="D63" s="5">
        <v>1</v>
      </c>
    </row>
    <row r="64" spans="1:4" x14ac:dyDescent="0.45">
      <c r="A64" s="16"/>
      <c r="B64" s="4">
        <v>0</v>
      </c>
      <c r="C64" s="2">
        <v>0</v>
      </c>
      <c r="D64" s="5">
        <v>1</v>
      </c>
    </row>
    <row r="65" spans="1:4" x14ac:dyDescent="0.45">
      <c r="A65" s="16"/>
      <c r="B65" s="4">
        <v>0</v>
      </c>
      <c r="C65" s="2">
        <v>0</v>
      </c>
      <c r="D65" s="5">
        <v>1</v>
      </c>
    </row>
    <row r="66" spans="1:4" x14ac:dyDescent="0.45">
      <c r="A66" s="16"/>
      <c r="B66" s="4">
        <v>0</v>
      </c>
      <c r="C66" s="2">
        <v>0</v>
      </c>
      <c r="D66" s="5">
        <v>1</v>
      </c>
    </row>
    <row r="67" spans="1:4" x14ac:dyDescent="0.45">
      <c r="A67" s="16"/>
      <c r="B67" s="4">
        <v>0</v>
      </c>
      <c r="C67" s="2">
        <v>0</v>
      </c>
      <c r="D67" s="5">
        <v>1</v>
      </c>
    </row>
    <row r="68" spans="1:4" x14ac:dyDescent="0.45">
      <c r="A68" s="16"/>
      <c r="B68" s="4">
        <v>0</v>
      </c>
      <c r="C68" s="2">
        <v>0</v>
      </c>
      <c r="D68" s="5">
        <v>1</v>
      </c>
    </row>
    <row r="69" spans="1:4" x14ac:dyDescent="0.45">
      <c r="A69" s="16"/>
      <c r="B69" s="4">
        <v>0</v>
      </c>
      <c r="C69" s="2">
        <v>0</v>
      </c>
      <c r="D69" s="5">
        <v>1</v>
      </c>
    </row>
    <row r="70" spans="1:4" x14ac:dyDescent="0.45">
      <c r="A70" s="16"/>
      <c r="B70" s="4">
        <v>0</v>
      </c>
      <c r="C70" s="2">
        <v>0</v>
      </c>
      <c r="D70" s="5">
        <v>1</v>
      </c>
    </row>
    <row r="71" spans="1:4" x14ac:dyDescent="0.45">
      <c r="A71" s="16"/>
      <c r="B71" s="4">
        <v>0</v>
      </c>
      <c r="C71" s="2">
        <v>0</v>
      </c>
      <c r="D71" s="5">
        <v>1</v>
      </c>
    </row>
    <row r="72" spans="1:4" x14ac:dyDescent="0.45">
      <c r="A72" s="16"/>
      <c r="B72" s="4">
        <v>0</v>
      </c>
      <c r="C72" s="2">
        <v>0</v>
      </c>
      <c r="D72" s="5">
        <v>1</v>
      </c>
    </row>
    <row r="73" spans="1:4" x14ac:dyDescent="0.45">
      <c r="A73" s="16"/>
      <c r="B73" s="4">
        <v>0</v>
      </c>
      <c r="C73" s="2">
        <v>0</v>
      </c>
      <c r="D73" s="5">
        <v>1</v>
      </c>
    </row>
    <row r="74" spans="1:4" x14ac:dyDescent="0.45">
      <c r="A74" s="16"/>
      <c r="B74" s="4">
        <v>0</v>
      </c>
      <c r="C74" s="2">
        <v>0</v>
      </c>
      <c r="D74" s="5">
        <v>1</v>
      </c>
    </row>
    <row r="75" spans="1:4" x14ac:dyDescent="0.45">
      <c r="A75" s="16"/>
      <c r="B75" s="4">
        <v>0</v>
      </c>
      <c r="C75" s="2">
        <v>0</v>
      </c>
      <c r="D75" s="5">
        <v>1</v>
      </c>
    </row>
    <row r="76" spans="1:4" x14ac:dyDescent="0.45">
      <c r="A76" s="16"/>
      <c r="B76" s="4">
        <v>0</v>
      </c>
      <c r="C76" s="2">
        <v>0</v>
      </c>
      <c r="D76" s="5">
        <v>1</v>
      </c>
    </row>
    <row r="77" spans="1:4" x14ac:dyDescent="0.45">
      <c r="A77" s="16"/>
      <c r="B77" s="4">
        <v>0</v>
      </c>
      <c r="C77" s="2">
        <v>0</v>
      </c>
      <c r="D77" s="5">
        <v>1</v>
      </c>
    </row>
    <row r="78" spans="1:4" x14ac:dyDescent="0.45">
      <c r="A78" s="16"/>
      <c r="B78" s="4">
        <v>0</v>
      </c>
      <c r="C78" s="2">
        <v>0</v>
      </c>
      <c r="D78" s="5">
        <v>1</v>
      </c>
    </row>
    <row r="79" spans="1:4" x14ac:dyDescent="0.45">
      <c r="A79" s="16"/>
      <c r="B79" s="4">
        <v>0</v>
      </c>
      <c r="C79" s="2">
        <v>0</v>
      </c>
      <c r="D79" s="5">
        <v>1</v>
      </c>
    </row>
    <row r="80" spans="1:4" x14ac:dyDescent="0.45">
      <c r="A80" s="16"/>
      <c r="B80" s="4">
        <v>0</v>
      </c>
      <c r="C80" s="2">
        <v>0</v>
      </c>
      <c r="D80" s="5">
        <v>1</v>
      </c>
    </row>
    <row r="81" spans="1:4" x14ac:dyDescent="0.45">
      <c r="A81" s="16"/>
      <c r="B81" s="4">
        <v>0</v>
      </c>
      <c r="C81" s="2">
        <v>0</v>
      </c>
      <c r="D81" s="5">
        <v>1</v>
      </c>
    </row>
    <row r="82" spans="1:4" x14ac:dyDescent="0.45">
      <c r="A82" s="16"/>
      <c r="B82" s="4">
        <v>0</v>
      </c>
      <c r="C82" s="2">
        <v>0</v>
      </c>
      <c r="D82" s="5">
        <v>1</v>
      </c>
    </row>
    <row r="83" spans="1:4" x14ac:dyDescent="0.45">
      <c r="A83" s="16"/>
      <c r="B83" s="4">
        <v>0</v>
      </c>
      <c r="C83" s="2">
        <v>0</v>
      </c>
      <c r="D83" s="5">
        <v>1</v>
      </c>
    </row>
    <row r="84" spans="1:4" x14ac:dyDescent="0.45">
      <c r="A84" s="16"/>
      <c r="B84" s="4">
        <v>0</v>
      </c>
      <c r="C84" s="2">
        <v>0</v>
      </c>
      <c r="D84" s="5">
        <v>1</v>
      </c>
    </row>
    <row r="85" spans="1:4" x14ac:dyDescent="0.45">
      <c r="A85" s="16"/>
      <c r="B85" s="4">
        <v>0</v>
      </c>
      <c r="C85" s="2">
        <v>0</v>
      </c>
      <c r="D85" s="5">
        <v>1</v>
      </c>
    </row>
    <row r="86" spans="1:4" x14ac:dyDescent="0.45">
      <c r="A86" s="16"/>
      <c r="B86" s="4">
        <v>0</v>
      </c>
      <c r="C86" s="2">
        <v>0</v>
      </c>
      <c r="D86" s="5">
        <v>1</v>
      </c>
    </row>
    <row r="87" spans="1:4" x14ac:dyDescent="0.45">
      <c r="A87" s="16"/>
      <c r="B87" s="4">
        <v>0</v>
      </c>
      <c r="C87" s="2">
        <v>0</v>
      </c>
      <c r="D87" s="5">
        <v>1</v>
      </c>
    </row>
    <row r="88" spans="1:4" x14ac:dyDescent="0.45">
      <c r="A88" s="16"/>
      <c r="B88" s="4">
        <v>0</v>
      </c>
      <c r="C88" s="2">
        <v>0</v>
      </c>
      <c r="D88" s="5">
        <v>1</v>
      </c>
    </row>
    <row r="89" spans="1:4" x14ac:dyDescent="0.45">
      <c r="A89" s="16"/>
      <c r="B89" s="4">
        <v>0</v>
      </c>
      <c r="C89" s="2">
        <v>0</v>
      </c>
      <c r="D89" s="5">
        <v>1</v>
      </c>
    </row>
    <row r="90" spans="1:4" x14ac:dyDescent="0.45">
      <c r="A90" s="16"/>
      <c r="B90" s="4">
        <v>0</v>
      </c>
      <c r="C90" s="2">
        <v>0</v>
      </c>
      <c r="D90" s="5">
        <v>1</v>
      </c>
    </row>
    <row r="91" spans="1:4" x14ac:dyDescent="0.45">
      <c r="A91" s="16"/>
      <c r="B91" s="4">
        <v>0</v>
      </c>
      <c r="C91" s="2">
        <v>0</v>
      </c>
      <c r="D91" s="5">
        <v>1</v>
      </c>
    </row>
    <row r="92" spans="1:4" x14ac:dyDescent="0.45">
      <c r="A92" s="16"/>
      <c r="B92" s="4">
        <v>0</v>
      </c>
      <c r="C92" s="2">
        <v>0</v>
      </c>
      <c r="D92" s="5">
        <v>1</v>
      </c>
    </row>
    <row r="93" spans="1:4" x14ac:dyDescent="0.45">
      <c r="A93" s="16"/>
      <c r="B93" s="4">
        <v>0</v>
      </c>
      <c r="C93" s="2">
        <v>0</v>
      </c>
      <c r="D93" s="5">
        <v>1</v>
      </c>
    </row>
    <row r="94" spans="1:4" x14ac:dyDescent="0.45">
      <c r="A94" s="16"/>
      <c r="B94" s="4">
        <v>0</v>
      </c>
      <c r="C94" s="2">
        <v>0</v>
      </c>
      <c r="D94" s="5">
        <v>1</v>
      </c>
    </row>
    <row r="95" spans="1:4" x14ac:dyDescent="0.45">
      <c r="A95" s="16"/>
      <c r="B95" s="4">
        <v>0</v>
      </c>
      <c r="C95" s="2">
        <v>0</v>
      </c>
      <c r="D95" s="5">
        <v>1</v>
      </c>
    </row>
    <row r="96" spans="1:4" x14ac:dyDescent="0.45">
      <c r="A96" s="16"/>
      <c r="B96" s="4">
        <v>0</v>
      </c>
      <c r="C96" s="2">
        <v>0</v>
      </c>
      <c r="D96" s="5">
        <v>1</v>
      </c>
    </row>
    <row r="97" spans="1:4" x14ac:dyDescent="0.45">
      <c r="A97" s="16"/>
      <c r="B97" s="4">
        <v>0</v>
      </c>
      <c r="C97" s="2">
        <v>0</v>
      </c>
      <c r="D97" s="5">
        <v>1</v>
      </c>
    </row>
    <row r="98" spans="1:4" x14ac:dyDescent="0.45">
      <c r="A98" s="16"/>
      <c r="B98" s="4">
        <v>0</v>
      </c>
      <c r="C98" s="2">
        <v>0</v>
      </c>
      <c r="D98" s="5">
        <v>1</v>
      </c>
    </row>
    <row r="99" spans="1:4" x14ac:dyDescent="0.45">
      <c r="A99" s="16"/>
      <c r="B99" s="4">
        <v>0</v>
      </c>
      <c r="C99" s="2">
        <v>0</v>
      </c>
      <c r="D99" s="5">
        <v>1</v>
      </c>
    </row>
    <row r="100" spans="1:4" x14ac:dyDescent="0.45">
      <c r="A100" s="16"/>
      <c r="B100" s="4">
        <v>0</v>
      </c>
      <c r="C100" s="2">
        <v>0</v>
      </c>
      <c r="D100" s="5">
        <v>1</v>
      </c>
    </row>
    <row r="101" spans="1:4" ht="14.65" thickBot="1" x14ac:dyDescent="0.5">
      <c r="A101" s="17"/>
      <c r="B101" s="6">
        <v>0</v>
      </c>
      <c r="C101" s="7">
        <v>0</v>
      </c>
      <c r="D101" s="8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/>
  </sheetPr>
  <dimension ref="A1:V129"/>
  <sheetViews>
    <sheetView zoomScaleNormal="100" workbookViewId="0">
      <selection activeCell="L2" sqref="L2:O129"/>
    </sheetView>
  </sheetViews>
  <sheetFormatPr defaultColWidth="9" defaultRowHeight="14.25" x14ac:dyDescent="0.45"/>
  <cols>
    <col min="1" max="5" width="9" style="18" collapsed="1"/>
    <col min="6" max="6" width="33.265625" style="18" customWidth="1" collapsed="1"/>
    <col min="7" max="7" width="61.73046875" style="18" customWidth="1" collapsed="1"/>
    <col min="8" max="8" width="56.73046875" style="18" customWidth="1" collapsed="1"/>
    <col min="9" max="9" width="9" style="18" collapsed="1"/>
    <col min="10" max="10" width="22.3984375" style="18" customWidth="1" collapsed="1"/>
    <col min="11" max="11" width="9" style="18" collapsed="1"/>
    <col min="12" max="15" width="11.86328125" style="18" customWidth="1" collapsed="1"/>
    <col min="16" max="16" width="9" style="39" collapsed="1"/>
    <col min="17" max="17" width="22.3984375" style="18" customWidth="1" collapsed="1"/>
    <col min="18" max="18" width="9" style="18" collapsed="1"/>
    <col min="19" max="22" width="11.86328125" style="18" customWidth="1" collapsed="1"/>
    <col min="23" max="16384" width="9" style="18" collapsed="1"/>
  </cols>
  <sheetData>
    <row r="1" spans="1:22" ht="14.65" thickBot="1" x14ac:dyDescent="0.5">
      <c r="A1" s="31" t="s">
        <v>12</v>
      </c>
      <c r="B1" s="32" t="s">
        <v>8</v>
      </c>
      <c r="C1" s="32" t="s">
        <v>9</v>
      </c>
      <c r="D1" s="32" t="s">
        <v>10</v>
      </c>
      <c r="E1" s="33" t="s">
        <v>11</v>
      </c>
      <c r="F1" s="32" t="s">
        <v>163</v>
      </c>
      <c r="G1" s="32" t="s">
        <v>164</v>
      </c>
      <c r="H1" s="32" t="s">
        <v>165</v>
      </c>
      <c r="I1" s="38"/>
      <c r="J1" s="38"/>
      <c r="L1" s="31" t="s">
        <v>166</v>
      </c>
      <c r="M1" s="32" t="s">
        <v>167</v>
      </c>
      <c r="N1" s="32" t="s">
        <v>168</v>
      </c>
      <c r="O1" s="33" t="s">
        <v>169</v>
      </c>
      <c r="P1" s="38"/>
      <c r="Q1" s="38"/>
      <c r="S1" s="31" t="s">
        <v>170</v>
      </c>
      <c r="T1" s="32" t="s">
        <v>171</v>
      </c>
      <c r="U1" s="32" t="s">
        <v>172</v>
      </c>
      <c r="V1" s="33" t="s">
        <v>173</v>
      </c>
    </row>
    <row r="2" spans="1:22" ht="14.25" customHeight="1" x14ac:dyDescent="0.45">
      <c r="A2" s="27">
        <v>1700</v>
      </c>
      <c r="B2" s="29">
        <v>4.444273E-2</v>
      </c>
      <c r="C2" s="29">
        <v>7.4077519999999994E-2</v>
      </c>
      <c r="D2" s="29">
        <v>0.17778037999999999</v>
      </c>
      <c r="E2" s="30">
        <v>0.29631008240000006</v>
      </c>
      <c r="F2" s="28" t="s">
        <v>13</v>
      </c>
      <c r="G2" s="28" t="s">
        <v>14</v>
      </c>
      <c r="H2" s="28" t="s">
        <v>15</v>
      </c>
      <c r="I2" s="34"/>
      <c r="J2" s="70" t="s">
        <v>209</v>
      </c>
      <c r="L2" s="27">
        <v>4.7E-2</v>
      </c>
      <c r="M2" s="28">
        <v>7.8340000000000007E-2</v>
      </c>
      <c r="N2" s="28">
        <v>0.18801000000000001</v>
      </c>
      <c r="O2" s="35">
        <v>0.31336000000000003</v>
      </c>
      <c r="Q2" s="70" t="s">
        <v>210</v>
      </c>
      <c r="S2" s="27">
        <v>4.444273E-2</v>
      </c>
      <c r="T2" s="28">
        <v>7.4077519999999994E-2</v>
      </c>
      <c r="U2" s="28">
        <v>0.17778037999999999</v>
      </c>
      <c r="V2" s="35">
        <v>0.29631008240000006</v>
      </c>
    </row>
    <row r="3" spans="1:22" x14ac:dyDescent="0.45">
      <c r="A3" s="21">
        <v>1701</v>
      </c>
      <c r="B3" s="20">
        <v>2.051E-2</v>
      </c>
      <c r="C3" s="20">
        <v>3.4189999999999998E-2</v>
      </c>
      <c r="D3" s="20">
        <v>8.2049999999999998E-2</v>
      </c>
      <c r="E3" s="22">
        <v>0.13675000000000001</v>
      </c>
      <c r="F3" s="19" t="s">
        <v>13</v>
      </c>
      <c r="G3" s="19" t="s">
        <v>14</v>
      </c>
      <c r="H3" s="19" t="s">
        <v>46</v>
      </c>
      <c r="I3" s="34"/>
      <c r="J3" s="70"/>
      <c r="L3" s="21">
        <v>2.051E-2</v>
      </c>
      <c r="M3" s="19">
        <v>3.4189999999999998E-2</v>
      </c>
      <c r="N3" s="19">
        <v>8.2049999999999998E-2</v>
      </c>
      <c r="O3" s="36">
        <v>0.13675000000000001</v>
      </c>
      <c r="Q3" s="70"/>
      <c r="S3" s="21">
        <v>2.051E-2</v>
      </c>
      <c r="T3" s="19">
        <v>3.4189999999999998E-2</v>
      </c>
      <c r="U3" s="19">
        <v>8.2049999999999998E-2</v>
      </c>
      <c r="V3" s="36">
        <v>0.13675000000000001</v>
      </c>
    </row>
    <row r="4" spans="1:22" x14ac:dyDescent="0.45">
      <c r="A4" s="21">
        <v>1706</v>
      </c>
      <c r="B4" s="20">
        <v>8.6959999999999996E-2</v>
      </c>
      <c r="C4" s="20">
        <v>0.14493</v>
      </c>
      <c r="D4" s="20">
        <v>0.34782999999999997</v>
      </c>
      <c r="E4" s="22">
        <v>0.57970999999999995</v>
      </c>
      <c r="F4" s="19" t="s">
        <v>13</v>
      </c>
      <c r="G4" s="19" t="s">
        <v>16</v>
      </c>
      <c r="H4" s="19" t="s">
        <v>17</v>
      </c>
      <c r="I4" s="34"/>
      <c r="J4" s="70"/>
      <c r="L4" s="21">
        <v>8.6959999999999996E-2</v>
      </c>
      <c r="M4" s="19">
        <v>0.14493</v>
      </c>
      <c r="N4" s="19">
        <v>0.34782999999999997</v>
      </c>
      <c r="O4" s="36">
        <v>0.57970999999999995</v>
      </c>
      <c r="Q4" s="70"/>
      <c r="S4" s="21">
        <v>8.6959999999999996E-2</v>
      </c>
      <c r="T4" s="19">
        <v>0.14493</v>
      </c>
      <c r="U4" s="19">
        <v>0.34782999999999997</v>
      </c>
      <c r="V4" s="36">
        <v>0.57970999999999995</v>
      </c>
    </row>
    <row r="5" spans="1:22" x14ac:dyDescent="0.45">
      <c r="A5" s="21">
        <v>1707</v>
      </c>
      <c r="B5" s="20">
        <v>5.7970000000000001E-2</v>
      </c>
      <c r="C5" s="20">
        <v>9.6619999999999998E-2</v>
      </c>
      <c r="D5" s="20">
        <v>0.23188</v>
      </c>
      <c r="E5" s="22">
        <v>0.38646999999999998</v>
      </c>
      <c r="F5" s="19" t="s">
        <v>13</v>
      </c>
      <c r="G5" s="19" t="s">
        <v>16</v>
      </c>
      <c r="H5" s="19" t="s">
        <v>18</v>
      </c>
      <c r="I5" s="34"/>
      <c r="J5" s="70"/>
      <c r="L5" s="21">
        <v>5.7970000000000001E-2</v>
      </c>
      <c r="M5" s="19">
        <v>9.6619999999999998E-2</v>
      </c>
      <c r="N5" s="19">
        <v>0.23188</v>
      </c>
      <c r="O5" s="36">
        <v>0.38646999999999998</v>
      </c>
      <c r="Q5" s="70"/>
      <c r="S5" s="21">
        <v>5.7970000000000001E-2</v>
      </c>
      <c r="T5" s="19">
        <v>9.6619999999999998E-2</v>
      </c>
      <c r="U5" s="19">
        <v>0.23188</v>
      </c>
      <c r="V5" s="36">
        <v>0.38646999999999998</v>
      </c>
    </row>
    <row r="6" spans="1:22" x14ac:dyDescent="0.45">
      <c r="A6" s="21">
        <v>1708</v>
      </c>
      <c r="B6" s="20">
        <v>6.6667569999999995E-2</v>
      </c>
      <c r="C6" s="20">
        <v>0.11111006</v>
      </c>
      <c r="D6" s="20">
        <v>0.26666260000000003</v>
      </c>
      <c r="E6" s="22">
        <v>0.44443257825091986</v>
      </c>
      <c r="F6" s="19" t="s">
        <v>13</v>
      </c>
      <c r="G6" s="19" t="s">
        <v>16</v>
      </c>
      <c r="H6" s="19" t="s">
        <v>19</v>
      </c>
      <c r="I6" s="34"/>
      <c r="J6" s="70"/>
      <c r="L6" s="21">
        <v>8.6959999999999996E-2</v>
      </c>
      <c r="M6" s="19">
        <v>0.14493</v>
      </c>
      <c r="N6" s="19">
        <v>0.34782999999999997</v>
      </c>
      <c r="O6" s="36">
        <v>0.57970999999999995</v>
      </c>
      <c r="Q6" s="70"/>
      <c r="S6" s="21">
        <v>6.6667569999999995E-2</v>
      </c>
      <c r="T6" s="19">
        <v>0.11111006</v>
      </c>
      <c r="U6" s="19">
        <v>0.26666260000000003</v>
      </c>
      <c r="V6" s="36">
        <v>0.44443257825091986</v>
      </c>
    </row>
    <row r="7" spans="1:22" x14ac:dyDescent="0.45">
      <c r="A7" s="21">
        <v>1710</v>
      </c>
      <c r="B7" s="20">
        <v>6.6669999999999993E-2</v>
      </c>
      <c r="C7" s="20">
        <v>0.1</v>
      </c>
      <c r="D7" s="20">
        <v>0.2</v>
      </c>
      <c r="E7" s="22">
        <v>0.2</v>
      </c>
      <c r="F7" s="19" t="s">
        <v>13</v>
      </c>
      <c r="G7" s="19" t="s">
        <v>20</v>
      </c>
      <c r="H7" s="19" t="s">
        <v>21</v>
      </c>
      <c r="I7" s="34"/>
      <c r="J7" s="70"/>
      <c r="L7" s="21">
        <v>6.6669999999999993E-2</v>
      </c>
      <c r="M7" s="19">
        <v>0.1</v>
      </c>
      <c r="N7" s="19">
        <v>0.2</v>
      </c>
      <c r="O7" s="36">
        <v>0.2</v>
      </c>
      <c r="Q7" s="70"/>
      <c r="S7" s="21">
        <v>6.6669999999999993E-2</v>
      </c>
      <c r="T7" s="19">
        <v>0.1</v>
      </c>
      <c r="U7" s="19">
        <v>0.2</v>
      </c>
      <c r="V7" s="36">
        <v>0.2</v>
      </c>
    </row>
    <row r="8" spans="1:22" x14ac:dyDescent="0.45">
      <c r="A8" s="21">
        <v>1711</v>
      </c>
      <c r="B8" s="20">
        <v>3.4779999999999998E-2</v>
      </c>
      <c r="C8" s="20">
        <v>5.7970000000000001E-2</v>
      </c>
      <c r="D8" s="20">
        <v>0.13913</v>
      </c>
      <c r="E8" s="22">
        <v>0.23188</v>
      </c>
      <c r="F8" s="19" t="s">
        <v>13</v>
      </c>
      <c r="G8" s="19" t="s">
        <v>22</v>
      </c>
      <c r="H8" s="19" t="s">
        <v>23</v>
      </c>
      <c r="I8" s="34"/>
      <c r="J8" s="70"/>
      <c r="L8" s="21">
        <v>3.4779999999999998E-2</v>
      </c>
      <c r="M8" s="19">
        <v>5.7970000000000001E-2</v>
      </c>
      <c r="N8" s="19">
        <v>0.13913</v>
      </c>
      <c r="O8" s="36">
        <v>0.23188</v>
      </c>
      <c r="Q8" s="70"/>
      <c r="S8" s="21">
        <v>3.4779999999999998E-2</v>
      </c>
      <c r="T8" s="19">
        <v>5.7970000000000001E-2</v>
      </c>
      <c r="U8" s="19">
        <v>0.13913</v>
      </c>
      <c r="V8" s="36">
        <v>0.23188</v>
      </c>
    </row>
    <row r="9" spans="1:22" x14ac:dyDescent="0.45">
      <c r="A9" s="21">
        <v>1712</v>
      </c>
      <c r="B9" s="20">
        <v>4.3479999999999998E-2</v>
      </c>
      <c r="C9" s="20">
        <v>7.2459999999999997E-2</v>
      </c>
      <c r="D9" s="20">
        <v>0.17391000000000001</v>
      </c>
      <c r="E9" s="22">
        <v>0.28986000000000001</v>
      </c>
      <c r="F9" s="19" t="s">
        <v>13</v>
      </c>
      <c r="G9" s="19" t="s">
        <v>22</v>
      </c>
      <c r="H9" s="19" t="s">
        <v>24</v>
      </c>
      <c r="I9" s="34"/>
      <c r="J9" s="70"/>
      <c r="L9" s="21">
        <v>4.3479999999999998E-2</v>
      </c>
      <c r="M9" s="19">
        <v>7.2459999999999997E-2</v>
      </c>
      <c r="N9" s="19">
        <v>0.17391000000000001</v>
      </c>
      <c r="O9" s="36">
        <v>0.28986000000000001</v>
      </c>
      <c r="Q9" s="70"/>
      <c r="S9" s="21">
        <v>4.3479999999999998E-2</v>
      </c>
      <c r="T9" s="19">
        <v>7.2459999999999997E-2</v>
      </c>
      <c r="U9" s="19">
        <v>0.17391000000000001</v>
      </c>
      <c r="V9" s="36">
        <v>0.28986000000000001</v>
      </c>
    </row>
    <row r="10" spans="1:22" x14ac:dyDescent="0.45">
      <c r="A10" s="21">
        <v>1713</v>
      </c>
      <c r="B10" s="20">
        <v>4.9689999999999998E-2</v>
      </c>
      <c r="C10" s="20">
        <v>8.2820000000000005E-2</v>
      </c>
      <c r="D10" s="20">
        <v>0.19875999999999999</v>
      </c>
      <c r="E10" s="22">
        <v>0.33126</v>
      </c>
      <c r="F10" s="19" t="s">
        <v>13</v>
      </c>
      <c r="G10" s="19" t="s">
        <v>22</v>
      </c>
      <c r="H10" s="19" t="s">
        <v>25</v>
      </c>
      <c r="I10" s="34"/>
      <c r="J10" s="70"/>
      <c r="L10" s="21">
        <v>4.9689999999999998E-2</v>
      </c>
      <c r="M10" s="19">
        <v>8.2820000000000005E-2</v>
      </c>
      <c r="N10" s="19">
        <v>0.19875999999999999</v>
      </c>
      <c r="O10" s="36">
        <v>0.33126</v>
      </c>
      <c r="Q10" s="70"/>
      <c r="S10" s="21">
        <v>4.9689999999999998E-2</v>
      </c>
      <c r="T10" s="19">
        <v>8.2820000000000005E-2</v>
      </c>
      <c r="U10" s="19">
        <v>0.19875999999999999</v>
      </c>
      <c r="V10" s="36">
        <v>0.33126</v>
      </c>
    </row>
    <row r="11" spans="1:22" x14ac:dyDescent="0.45">
      <c r="A11" s="21">
        <v>1714</v>
      </c>
      <c r="B11" s="20">
        <v>6.9570000000000007E-2</v>
      </c>
      <c r="C11" s="20">
        <v>0.11594</v>
      </c>
      <c r="D11" s="20">
        <v>0.27826000000000001</v>
      </c>
      <c r="E11" s="22">
        <v>0.46377000000000002</v>
      </c>
      <c r="F11" s="19" t="s">
        <v>13</v>
      </c>
      <c r="G11" s="19" t="s">
        <v>22</v>
      </c>
      <c r="H11" s="19" t="s">
        <v>26</v>
      </c>
      <c r="I11" s="34"/>
      <c r="J11" s="70"/>
      <c r="L11" s="21">
        <v>6.9570000000000007E-2</v>
      </c>
      <c r="M11" s="19">
        <v>0.11594</v>
      </c>
      <c r="N11" s="19">
        <v>0.27826000000000001</v>
      </c>
      <c r="O11" s="36">
        <v>0.46377000000000002</v>
      </c>
      <c r="Q11" s="70"/>
      <c r="S11" s="21">
        <v>6.9570000000000007E-2</v>
      </c>
      <c r="T11" s="19">
        <v>0.11594</v>
      </c>
      <c r="U11" s="19">
        <v>0.27826000000000001</v>
      </c>
      <c r="V11" s="36">
        <v>0.46377000000000002</v>
      </c>
    </row>
    <row r="12" spans="1:22" x14ac:dyDescent="0.45">
      <c r="A12" s="21">
        <v>1715</v>
      </c>
      <c r="B12" s="20">
        <v>5.5557139999999998E-2</v>
      </c>
      <c r="C12" s="20">
        <v>8.3331550000000004E-2</v>
      </c>
      <c r="D12" s="20">
        <v>0.16666310000000001</v>
      </c>
      <c r="E12" s="22">
        <v>0.16666308684565775</v>
      </c>
      <c r="F12" s="19" t="s">
        <v>13</v>
      </c>
      <c r="G12" s="19" t="s">
        <v>20</v>
      </c>
      <c r="H12" s="19" t="s">
        <v>27</v>
      </c>
      <c r="I12" s="34"/>
      <c r="J12" s="70"/>
      <c r="L12" s="21">
        <v>6.6669999999999993E-2</v>
      </c>
      <c r="M12" s="19">
        <v>0.1</v>
      </c>
      <c r="N12" s="19">
        <v>0.2</v>
      </c>
      <c r="O12" s="36">
        <v>0.2</v>
      </c>
      <c r="Q12" s="70"/>
      <c r="S12" s="21">
        <v>5.5557139999999998E-2</v>
      </c>
      <c r="T12" s="19">
        <v>8.3331550000000004E-2</v>
      </c>
      <c r="U12" s="19">
        <v>0.16666310000000001</v>
      </c>
      <c r="V12" s="36">
        <v>0.16666308684565775</v>
      </c>
    </row>
    <row r="13" spans="1:22" x14ac:dyDescent="0.45">
      <c r="A13" s="21">
        <v>1716</v>
      </c>
      <c r="B13" s="20">
        <v>3.0769999999999999E-2</v>
      </c>
      <c r="C13" s="20">
        <v>5.1279999999999999E-2</v>
      </c>
      <c r="D13" s="20">
        <v>0.12307999999999999</v>
      </c>
      <c r="E13" s="22">
        <v>0.20513000000000001</v>
      </c>
      <c r="F13" s="19" t="s">
        <v>13</v>
      </c>
      <c r="G13" s="19" t="s">
        <v>22</v>
      </c>
      <c r="H13" s="19" t="s">
        <v>47</v>
      </c>
      <c r="I13" s="34"/>
      <c r="J13" s="70"/>
      <c r="L13" s="21">
        <v>3.0769999999999999E-2</v>
      </c>
      <c r="M13" s="19">
        <v>5.1279999999999999E-2</v>
      </c>
      <c r="N13" s="19">
        <v>0.12307999999999999</v>
      </c>
      <c r="O13" s="36">
        <v>0.20513000000000001</v>
      </c>
      <c r="Q13" s="70"/>
      <c r="S13" s="21">
        <v>3.0769999999999999E-2</v>
      </c>
      <c r="T13" s="19">
        <v>5.1279999999999999E-2</v>
      </c>
      <c r="U13" s="19">
        <v>0.12307999999999999</v>
      </c>
      <c r="V13" s="36">
        <v>0.20513000000000001</v>
      </c>
    </row>
    <row r="14" spans="1:22" x14ac:dyDescent="0.45">
      <c r="A14" s="21">
        <v>1717</v>
      </c>
      <c r="B14" s="20">
        <v>4.7618519999999998E-2</v>
      </c>
      <c r="C14" s="20">
        <v>7.9364199999999996E-2</v>
      </c>
      <c r="D14" s="20">
        <v>0.19048646999999999</v>
      </c>
      <c r="E14" s="22">
        <v>0.31746918131045243</v>
      </c>
      <c r="F14" s="19" t="s">
        <v>13</v>
      </c>
      <c r="G14" s="19" t="s">
        <v>22</v>
      </c>
      <c r="H14" s="19" t="s">
        <v>48</v>
      </c>
      <c r="I14" s="34"/>
      <c r="J14" s="70"/>
      <c r="L14" s="21">
        <v>3.8460000000000001E-2</v>
      </c>
      <c r="M14" s="19">
        <v>6.4100000000000004E-2</v>
      </c>
      <c r="N14" s="19">
        <v>0.15384999999999999</v>
      </c>
      <c r="O14" s="36">
        <v>0.25641000000000003</v>
      </c>
      <c r="Q14" s="70"/>
      <c r="S14" s="21">
        <v>4.7618519999999998E-2</v>
      </c>
      <c r="T14" s="19">
        <v>7.9364199999999996E-2</v>
      </c>
      <c r="U14" s="19">
        <v>0.19048646999999999</v>
      </c>
      <c r="V14" s="36">
        <v>0.31746918131045243</v>
      </c>
    </row>
    <row r="15" spans="1:22" x14ac:dyDescent="0.45">
      <c r="A15" s="21">
        <v>1718</v>
      </c>
      <c r="B15" s="20">
        <v>5.8826370000000003E-2</v>
      </c>
      <c r="C15" s="20">
        <v>9.8035029999999995E-2</v>
      </c>
      <c r="D15" s="20">
        <v>0.23527872999999999</v>
      </c>
      <c r="E15" s="22">
        <v>0.39214011521383085</v>
      </c>
      <c r="F15" s="19" t="s">
        <v>13</v>
      </c>
      <c r="G15" s="19" t="s">
        <v>22</v>
      </c>
      <c r="H15" s="19" t="s">
        <v>49</v>
      </c>
      <c r="I15" s="34"/>
      <c r="J15" s="70"/>
      <c r="L15" s="21">
        <v>4.3959999999999999E-2</v>
      </c>
      <c r="M15" s="19">
        <v>7.3260000000000006E-2</v>
      </c>
      <c r="N15" s="19">
        <v>0.17582</v>
      </c>
      <c r="O15" s="36">
        <v>0.29304000000000002</v>
      </c>
      <c r="Q15" s="70"/>
      <c r="S15" s="21">
        <v>5.8826370000000003E-2</v>
      </c>
      <c r="T15" s="19">
        <v>9.8035029999999995E-2</v>
      </c>
      <c r="U15" s="19">
        <v>0.23527872999999999</v>
      </c>
      <c r="V15" s="36">
        <v>0.39214011521383085</v>
      </c>
    </row>
    <row r="16" spans="1:22" x14ac:dyDescent="0.45">
      <c r="A16" s="21">
        <v>1719</v>
      </c>
      <c r="B16" s="20">
        <v>7.6925060000000003E-2</v>
      </c>
      <c r="C16" s="20">
        <v>0.12820010000000001</v>
      </c>
      <c r="D16" s="20">
        <v>0.30768774999999998</v>
      </c>
      <c r="E16" s="22">
        <v>0.51282539999350019</v>
      </c>
      <c r="F16" s="19" t="s">
        <v>13</v>
      </c>
      <c r="G16" s="19" t="s">
        <v>22</v>
      </c>
      <c r="H16" s="19" t="s">
        <v>50</v>
      </c>
      <c r="I16" s="34"/>
      <c r="J16" s="70"/>
      <c r="L16" s="21">
        <v>6.1539999999999997E-2</v>
      </c>
      <c r="M16" s="19">
        <v>0.10256</v>
      </c>
      <c r="N16" s="19">
        <v>0.24615000000000001</v>
      </c>
      <c r="O16" s="36">
        <v>0.41026000000000001</v>
      </c>
      <c r="Q16" s="70"/>
      <c r="S16" s="21">
        <v>7.6925060000000003E-2</v>
      </c>
      <c r="T16" s="19">
        <v>0.12820010000000001</v>
      </c>
      <c r="U16" s="19">
        <v>0.30768774999999998</v>
      </c>
      <c r="V16" s="36">
        <v>0.51282539999350019</v>
      </c>
    </row>
    <row r="17" spans="1:22" x14ac:dyDescent="0.45">
      <c r="A17" s="21">
        <v>1752</v>
      </c>
      <c r="B17" s="20">
        <v>2.7398579999999999E-2</v>
      </c>
      <c r="C17" s="20">
        <v>4.5660149999999997E-2</v>
      </c>
      <c r="D17" s="20">
        <v>0.10958187</v>
      </c>
      <c r="E17" s="22">
        <v>0.18264057969062786</v>
      </c>
      <c r="F17" s="19" t="s">
        <v>28</v>
      </c>
      <c r="G17" s="19" t="s">
        <v>51</v>
      </c>
      <c r="H17" s="19" t="s">
        <v>30</v>
      </c>
      <c r="I17" s="34"/>
      <c r="J17" s="70"/>
      <c r="L17" s="21">
        <v>2.198E-2</v>
      </c>
      <c r="M17" s="19">
        <v>3.6630000000000003E-2</v>
      </c>
      <c r="N17" s="19">
        <v>8.7910000000000002E-2</v>
      </c>
      <c r="O17" s="36">
        <v>0.14652000000000001</v>
      </c>
      <c r="Q17" s="70"/>
      <c r="S17" s="21">
        <v>2.7398579999999999E-2</v>
      </c>
      <c r="T17" s="19">
        <v>4.5660149999999997E-2</v>
      </c>
      <c r="U17" s="19">
        <v>0.10958187</v>
      </c>
      <c r="V17" s="36">
        <v>0.18264057969062786</v>
      </c>
    </row>
    <row r="18" spans="1:22" x14ac:dyDescent="0.45">
      <c r="A18" s="21">
        <v>1756</v>
      </c>
      <c r="B18" s="20">
        <v>2.7969999999999998E-2</v>
      </c>
      <c r="C18" s="20">
        <v>4.6620000000000002E-2</v>
      </c>
      <c r="D18" s="20">
        <v>0.11189</v>
      </c>
      <c r="E18" s="22">
        <v>0.18648000000000001</v>
      </c>
      <c r="F18" s="19" t="s">
        <v>28</v>
      </c>
      <c r="G18" s="19" t="s">
        <v>29</v>
      </c>
      <c r="H18" s="19" t="s">
        <v>30</v>
      </c>
      <c r="I18" s="34"/>
      <c r="J18" s="70"/>
      <c r="L18" s="21">
        <v>2.7969999999999998E-2</v>
      </c>
      <c r="M18" s="19">
        <v>4.6620000000000002E-2</v>
      </c>
      <c r="N18" s="19">
        <v>0.11189</v>
      </c>
      <c r="O18" s="36">
        <v>0.18648000000000001</v>
      </c>
      <c r="Q18" s="70"/>
      <c r="S18" s="21">
        <v>2.7969999999999998E-2</v>
      </c>
      <c r="T18" s="19">
        <v>4.6620000000000002E-2</v>
      </c>
      <c r="U18" s="19">
        <v>0.11189</v>
      </c>
      <c r="V18" s="36">
        <v>0.18648000000000001</v>
      </c>
    </row>
    <row r="19" spans="1:22" x14ac:dyDescent="0.45">
      <c r="A19" s="21">
        <v>1769</v>
      </c>
      <c r="B19" s="20">
        <v>4.274E-2</v>
      </c>
      <c r="C19" s="20">
        <v>5.6980000000000003E-2</v>
      </c>
      <c r="D19" s="20">
        <v>8.5470000000000004E-2</v>
      </c>
      <c r="E19" s="22">
        <v>0.17094000000000001</v>
      </c>
      <c r="F19" s="19" t="s">
        <v>28</v>
      </c>
      <c r="G19" s="19" t="s">
        <v>31</v>
      </c>
      <c r="H19" s="19" t="s">
        <v>32</v>
      </c>
      <c r="I19" s="34"/>
      <c r="J19" s="70"/>
      <c r="L19" s="21">
        <v>4.274E-2</v>
      </c>
      <c r="M19" s="19">
        <v>5.6980000000000003E-2</v>
      </c>
      <c r="N19" s="19">
        <v>8.5470000000000004E-2</v>
      </c>
      <c r="O19" s="36">
        <v>0.17094000000000001</v>
      </c>
      <c r="Q19" s="70"/>
      <c r="S19" s="21">
        <v>4.274E-2</v>
      </c>
      <c r="T19" s="19">
        <v>5.6980000000000003E-2</v>
      </c>
      <c r="U19" s="19">
        <v>8.5470000000000004E-2</v>
      </c>
      <c r="V19" s="36">
        <v>0.17094000000000001</v>
      </c>
    </row>
    <row r="20" spans="1:22" x14ac:dyDescent="0.45">
      <c r="A20" s="21">
        <v>1770</v>
      </c>
      <c r="B20" s="20">
        <v>6.4100000000000004E-2</v>
      </c>
      <c r="C20" s="20">
        <v>8.5470000000000004E-2</v>
      </c>
      <c r="D20" s="20">
        <v>0.12820999999999999</v>
      </c>
      <c r="E20" s="22">
        <v>0.25641000000000003</v>
      </c>
      <c r="F20" s="19" t="s">
        <v>28</v>
      </c>
      <c r="G20" s="19" t="s">
        <v>31</v>
      </c>
      <c r="H20" s="19" t="s">
        <v>33</v>
      </c>
      <c r="I20" s="34"/>
      <c r="J20" s="70"/>
      <c r="L20" s="21">
        <v>6.4100000000000004E-2</v>
      </c>
      <c r="M20" s="19">
        <v>8.5470000000000004E-2</v>
      </c>
      <c r="N20" s="19">
        <v>0.12820999999999999</v>
      </c>
      <c r="O20" s="36">
        <v>0.25641000000000003</v>
      </c>
      <c r="Q20" s="70"/>
      <c r="S20" s="21">
        <v>6.4100000000000004E-2</v>
      </c>
      <c r="T20" s="19">
        <v>8.5470000000000004E-2</v>
      </c>
      <c r="U20" s="19">
        <v>0.12820999999999999</v>
      </c>
      <c r="V20" s="36">
        <v>0.25641000000000003</v>
      </c>
    </row>
    <row r="21" spans="1:22" x14ac:dyDescent="0.45">
      <c r="A21" s="21">
        <v>1771</v>
      </c>
      <c r="B21" s="20">
        <v>6.4100000000000004E-2</v>
      </c>
      <c r="C21" s="20">
        <v>8.5470000000000004E-2</v>
      </c>
      <c r="D21" s="20">
        <v>0.12820999999999999</v>
      </c>
      <c r="E21" s="22">
        <v>0.25641000000000003</v>
      </c>
      <c r="F21" s="19" t="s">
        <v>28</v>
      </c>
      <c r="G21" s="19" t="s">
        <v>31</v>
      </c>
      <c r="H21" s="19" t="s">
        <v>34</v>
      </c>
      <c r="I21" s="34"/>
      <c r="J21" s="70"/>
      <c r="L21" s="21">
        <v>6.4100000000000004E-2</v>
      </c>
      <c r="M21" s="19">
        <v>8.5470000000000004E-2</v>
      </c>
      <c r="N21" s="19">
        <v>0.12820999999999999</v>
      </c>
      <c r="O21" s="36">
        <v>0.25641000000000003</v>
      </c>
      <c r="Q21" s="70"/>
      <c r="S21" s="21">
        <v>6.4100000000000004E-2</v>
      </c>
      <c r="T21" s="19">
        <v>8.5470000000000004E-2</v>
      </c>
      <c r="U21" s="19">
        <v>0.12820999999999999</v>
      </c>
      <c r="V21" s="36">
        <v>0.25641000000000003</v>
      </c>
    </row>
    <row r="22" spans="1:22" x14ac:dyDescent="0.45">
      <c r="A22" s="21">
        <v>1773</v>
      </c>
      <c r="B22" s="20">
        <v>2.198E-2</v>
      </c>
      <c r="C22" s="20">
        <v>3.6630000000000003E-2</v>
      </c>
      <c r="D22" s="20">
        <v>8.7910000000000002E-2</v>
      </c>
      <c r="E22" s="22">
        <v>0.14652000000000001</v>
      </c>
      <c r="F22" s="19" t="s">
        <v>28</v>
      </c>
      <c r="G22" s="19" t="s">
        <v>52</v>
      </c>
      <c r="H22" s="19" t="s">
        <v>53</v>
      </c>
      <c r="I22" s="34"/>
      <c r="J22" s="34"/>
      <c r="L22" s="21">
        <v>2.198E-2</v>
      </c>
      <c r="M22" s="19">
        <v>3.6630000000000003E-2</v>
      </c>
      <c r="N22" s="19">
        <v>8.7910000000000002E-2</v>
      </c>
      <c r="O22" s="36">
        <v>0.14652000000000001</v>
      </c>
      <c r="Q22" s="34"/>
      <c r="S22" s="21">
        <v>2.198E-2</v>
      </c>
      <c r="T22" s="19">
        <v>3.6630000000000003E-2</v>
      </c>
      <c r="U22" s="19">
        <v>8.7910000000000002E-2</v>
      </c>
      <c r="V22" s="36">
        <v>0.14652000000000001</v>
      </c>
    </row>
    <row r="23" spans="1:22" x14ac:dyDescent="0.45">
      <c r="A23" s="21">
        <v>1774</v>
      </c>
      <c r="B23" s="20">
        <v>2.564E-2</v>
      </c>
      <c r="C23" s="20">
        <v>4.274E-2</v>
      </c>
      <c r="D23" s="20">
        <v>0.10256</v>
      </c>
      <c r="E23" s="22">
        <v>0.17094000000000001</v>
      </c>
      <c r="F23" s="19" t="s">
        <v>28</v>
      </c>
      <c r="G23" s="19" t="s">
        <v>52</v>
      </c>
      <c r="H23" s="19" t="s">
        <v>54</v>
      </c>
      <c r="I23" s="34"/>
      <c r="J23" s="34"/>
      <c r="L23" s="21">
        <v>2.564E-2</v>
      </c>
      <c r="M23" s="19">
        <v>4.274E-2</v>
      </c>
      <c r="N23" s="19">
        <v>0.10256</v>
      </c>
      <c r="O23" s="36">
        <v>0.17094000000000001</v>
      </c>
      <c r="Q23" s="34"/>
      <c r="S23" s="21">
        <v>2.564E-2</v>
      </c>
      <c r="T23" s="19">
        <v>4.274E-2</v>
      </c>
      <c r="U23" s="19">
        <v>0.10256</v>
      </c>
      <c r="V23" s="36">
        <v>0.17094000000000001</v>
      </c>
    </row>
    <row r="24" spans="1:22" x14ac:dyDescent="0.45">
      <c r="A24" s="21">
        <v>1775</v>
      </c>
      <c r="B24" s="20">
        <v>3.0769999999999999E-2</v>
      </c>
      <c r="C24" s="20">
        <v>5.1279999999999999E-2</v>
      </c>
      <c r="D24" s="20">
        <v>0.12307999999999999</v>
      </c>
      <c r="E24" s="22">
        <v>0.20513000000000001</v>
      </c>
      <c r="F24" s="19" t="s">
        <v>28</v>
      </c>
      <c r="G24" s="19" t="s">
        <v>52</v>
      </c>
      <c r="H24" s="19" t="s">
        <v>55</v>
      </c>
      <c r="I24" s="34"/>
      <c r="J24" s="34"/>
      <c r="L24" s="21">
        <v>3.0769999999999999E-2</v>
      </c>
      <c r="M24" s="19">
        <v>5.1279999999999999E-2</v>
      </c>
      <c r="N24" s="19">
        <v>0.12307999999999999</v>
      </c>
      <c r="O24" s="36">
        <v>0.20513000000000001</v>
      </c>
      <c r="Q24" s="34"/>
      <c r="S24" s="21">
        <v>3.0769999999999999E-2</v>
      </c>
      <c r="T24" s="19">
        <v>5.1279999999999999E-2</v>
      </c>
      <c r="U24" s="19">
        <v>0.12307999999999999</v>
      </c>
      <c r="V24" s="36">
        <v>0.20513000000000001</v>
      </c>
    </row>
    <row r="25" spans="1:22" x14ac:dyDescent="0.45">
      <c r="A25" s="21">
        <v>1786</v>
      </c>
      <c r="B25" s="20">
        <v>3.2050000000000002E-2</v>
      </c>
      <c r="C25" s="20">
        <v>4.274E-2</v>
      </c>
      <c r="D25" s="20">
        <v>6.4100000000000004E-2</v>
      </c>
      <c r="E25" s="22">
        <v>0.12820999999999999</v>
      </c>
      <c r="F25" s="19" t="s">
        <v>28</v>
      </c>
      <c r="G25" s="19" t="s">
        <v>56</v>
      </c>
      <c r="H25" s="19" t="s">
        <v>54</v>
      </c>
      <c r="I25" s="34"/>
      <c r="J25" s="34"/>
      <c r="L25" s="21">
        <v>3.2050000000000002E-2</v>
      </c>
      <c r="M25" s="19">
        <v>4.274E-2</v>
      </c>
      <c r="N25" s="19">
        <v>6.4100000000000004E-2</v>
      </c>
      <c r="O25" s="36">
        <v>0.12820999999999999</v>
      </c>
      <c r="Q25" s="34"/>
      <c r="S25" s="21">
        <v>3.2050000000000002E-2</v>
      </c>
      <c r="T25" s="19">
        <v>4.274E-2</v>
      </c>
      <c r="U25" s="19">
        <v>6.4100000000000004E-2</v>
      </c>
      <c r="V25" s="36">
        <v>0.12820999999999999</v>
      </c>
    </row>
    <row r="26" spans="1:22" x14ac:dyDescent="0.45">
      <c r="A26" s="21">
        <v>1787</v>
      </c>
      <c r="B26" s="20">
        <v>4.274E-2</v>
      </c>
      <c r="C26" s="20">
        <v>5.6980000000000003E-2</v>
      </c>
      <c r="D26" s="20">
        <v>8.5470000000000004E-2</v>
      </c>
      <c r="E26" s="22">
        <v>0.17094000000000001</v>
      </c>
      <c r="F26" s="19" t="s">
        <v>28</v>
      </c>
      <c r="G26" s="19" t="s">
        <v>56</v>
      </c>
      <c r="H26" s="19" t="s">
        <v>57</v>
      </c>
      <c r="I26" s="34"/>
      <c r="J26" s="34"/>
      <c r="L26" s="21">
        <v>4.274E-2</v>
      </c>
      <c r="M26" s="19">
        <v>5.6980000000000003E-2</v>
      </c>
      <c r="N26" s="19">
        <v>8.5470000000000004E-2</v>
      </c>
      <c r="O26" s="36">
        <v>0.17094000000000001</v>
      </c>
      <c r="Q26" s="34"/>
      <c r="S26" s="21">
        <v>4.274E-2</v>
      </c>
      <c r="T26" s="19">
        <v>5.6980000000000003E-2</v>
      </c>
      <c r="U26" s="19">
        <v>8.5470000000000004E-2</v>
      </c>
      <c r="V26" s="36">
        <v>0.17094000000000001</v>
      </c>
    </row>
    <row r="27" spans="1:22" x14ac:dyDescent="0.45">
      <c r="A27" s="21">
        <v>1788</v>
      </c>
      <c r="B27" s="20">
        <v>4.274E-2</v>
      </c>
      <c r="C27" s="20">
        <v>5.6980000000000003E-2</v>
      </c>
      <c r="D27" s="20">
        <v>8.5470000000000004E-2</v>
      </c>
      <c r="E27" s="22">
        <v>0.17094000000000001</v>
      </c>
      <c r="F27" s="19" t="s">
        <v>28</v>
      </c>
      <c r="G27" s="19" t="s">
        <v>56</v>
      </c>
      <c r="H27" s="19" t="s">
        <v>58</v>
      </c>
      <c r="I27" s="34"/>
      <c r="J27" s="34"/>
      <c r="L27" s="21">
        <v>4.274E-2</v>
      </c>
      <c r="M27" s="19">
        <v>5.6980000000000003E-2</v>
      </c>
      <c r="N27" s="19">
        <v>8.5470000000000004E-2</v>
      </c>
      <c r="O27" s="36">
        <v>0.17094000000000001</v>
      </c>
      <c r="Q27" s="34"/>
      <c r="S27" s="21">
        <v>4.274E-2</v>
      </c>
      <c r="T27" s="19">
        <v>5.6980000000000003E-2</v>
      </c>
      <c r="U27" s="19">
        <v>8.5470000000000004E-2</v>
      </c>
      <c r="V27" s="36">
        <v>0.17094000000000001</v>
      </c>
    </row>
    <row r="28" spans="1:22" x14ac:dyDescent="0.45">
      <c r="A28" s="21">
        <v>1792</v>
      </c>
      <c r="B28" s="20">
        <v>0.13889214</v>
      </c>
      <c r="C28" s="20">
        <v>0.18518229999999999</v>
      </c>
      <c r="D28" s="20">
        <v>0.27777343999999998</v>
      </c>
      <c r="E28" s="22">
        <v>0.5555468936494814</v>
      </c>
      <c r="F28" s="19" t="s">
        <v>28</v>
      </c>
      <c r="G28" s="19" t="s">
        <v>59</v>
      </c>
      <c r="H28" s="19" t="s">
        <v>60</v>
      </c>
      <c r="I28" s="34"/>
      <c r="J28" s="34"/>
      <c r="L28" s="21">
        <v>0.12820999999999999</v>
      </c>
      <c r="M28" s="19">
        <v>0.17094000000000001</v>
      </c>
      <c r="N28" s="19">
        <v>0.25641000000000003</v>
      </c>
      <c r="O28" s="36">
        <v>0.51282000000000005</v>
      </c>
      <c r="Q28" s="34"/>
      <c r="S28" s="21">
        <v>0.13889214</v>
      </c>
      <c r="T28" s="19">
        <v>0.18518229999999999</v>
      </c>
      <c r="U28" s="19">
        <v>0.27777343999999998</v>
      </c>
      <c r="V28" s="36">
        <v>0.5555468936494814</v>
      </c>
    </row>
    <row r="29" spans="1:22" x14ac:dyDescent="0.45">
      <c r="A29" s="21">
        <v>1793</v>
      </c>
      <c r="B29" s="20">
        <v>3.8460000000000001E-2</v>
      </c>
      <c r="C29" s="20">
        <v>5.1279999999999999E-2</v>
      </c>
      <c r="D29" s="20">
        <v>7.6920000000000002E-2</v>
      </c>
      <c r="E29" s="22">
        <v>0.15384999999999999</v>
      </c>
      <c r="F29" s="19" t="s">
        <v>28</v>
      </c>
      <c r="G29" s="19" t="s">
        <v>59</v>
      </c>
      <c r="H29" s="19" t="s">
        <v>61</v>
      </c>
      <c r="I29" s="34"/>
      <c r="J29" s="34"/>
      <c r="L29" s="21">
        <v>3.8460000000000001E-2</v>
      </c>
      <c r="M29" s="19">
        <v>5.1279999999999999E-2</v>
      </c>
      <c r="N29" s="19">
        <v>7.6920000000000002E-2</v>
      </c>
      <c r="O29" s="36">
        <v>0.15384999999999999</v>
      </c>
      <c r="Q29" s="34"/>
      <c r="S29" s="21">
        <v>3.8460000000000001E-2</v>
      </c>
      <c r="T29" s="19">
        <v>5.1279999999999999E-2</v>
      </c>
      <c r="U29" s="19">
        <v>7.6920000000000002E-2</v>
      </c>
      <c r="V29" s="36">
        <v>0.15384999999999999</v>
      </c>
    </row>
    <row r="30" spans="1:22" x14ac:dyDescent="0.45">
      <c r="A30" s="21">
        <v>1808</v>
      </c>
      <c r="B30" s="20">
        <v>2.564E-2</v>
      </c>
      <c r="C30" s="20">
        <v>4.274E-2</v>
      </c>
      <c r="D30" s="20">
        <v>0.10256</v>
      </c>
      <c r="E30" s="22">
        <v>0.17094000000000001</v>
      </c>
      <c r="F30" s="19" t="s">
        <v>37</v>
      </c>
      <c r="G30" s="19" t="s">
        <v>36</v>
      </c>
      <c r="H30" s="19" t="s">
        <v>62</v>
      </c>
      <c r="I30" s="34"/>
      <c r="J30" s="34"/>
      <c r="L30" s="21">
        <v>2.564E-2</v>
      </c>
      <c r="M30" s="19">
        <v>4.274E-2</v>
      </c>
      <c r="N30" s="19">
        <v>0.10256</v>
      </c>
      <c r="O30" s="36">
        <v>0.17094000000000001</v>
      </c>
      <c r="Q30" s="34"/>
      <c r="S30" s="21">
        <v>2.564E-2</v>
      </c>
      <c r="T30" s="19">
        <v>4.274E-2</v>
      </c>
      <c r="U30" s="19">
        <v>0.10256</v>
      </c>
      <c r="V30" s="36">
        <v>0.17094000000000001</v>
      </c>
    </row>
    <row r="31" spans="1:22" x14ac:dyDescent="0.45">
      <c r="A31" s="21">
        <v>1809</v>
      </c>
      <c r="B31" s="20">
        <v>4.5249999999999999E-2</v>
      </c>
      <c r="C31" s="20">
        <v>7.5410000000000005E-2</v>
      </c>
      <c r="D31" s="20">
        <v>0.18099999999999999</v>
      </c>
      <c r="E31" s="22">
        <v>0.30165999999999998</v>
      </c>
      <c r="F31" s="19" t="s">
        <v>37</v>
      </c>
      <c r="G31" s="19" t="s">
        <v>36</v>
      </c>
      <c r="H31" s="19" t="s">
        <v>63</v>
      </c>
      <c r="I31" s="34"/>
      <c r="J31" s="34"/>
      <c r="L31" s="21">
        <v>4.5249999999999999E-2</v>
      </c>
      <c r="M31" s="19">
        <v>7.5410000000000005E-2</v>
      </c>
      <c r="N31" s="19">
        <v>0.18099999999999999</v>
      </c>
      <c r="O31" s="36">
        <v>0.30165999999999998</v>
      </c>
      <c r="Q31" s="34"/>
      <c r="S31" s="21">
        <v>4.5249999999999999E-2</v>
      </c>
      <c r="T31" s="19">
        <v>7.5410000000000005E-2</v>
      </c>
      <c r="U31" s="19">
        <v>0.18099999999999999</v>
      </c>
      <c r="V31" s="36">
        <v>0.30165999999999998</v>
      </c>
    </row>
    <row r="32" spans="1:22" x14ac:dyDescent="0.45">
      <c r="A32" s="21">
        <v>1811</v>
      </c>
      <c r="B32" s="20">
        <v>5.0002419999999999E-2</v>
      </c>
      <c r="C32" s="20">
        <v>8.3329780000000006E-2</v>
      </c>
      <c r="D32" s="20">
        <v>0.19998692000000001</v>
      </c>
      <c r="E32" s="22">
        <v>0.33331913459508644</v>
      </c>
      <c r="F32" s="19" t="s">
        <v>37</v>
      </c>
      <c r="G32" s="19" t="s">
        <v>36</v>
      </c>
      <c r="H32" s="19" t="s">
        <v>64</v>
      </c>
      <c r="I32" s="34"/>
      <c r="J32" s="34"/>
      <c r="L32" s="21">
        <v>4.3959999999999999E-2</v>
      </c>
      <c r="M32" s="19">
        <v>7.3260000000000006E-2</v>
      </c>
      <c r="N32" s="19">
        <v>0.17582</v>
      </c>
      <c r="O32" s="36">
        <v>0.29304000000000002</v>
      </c>
      <c r="Q32" s="34"/>
      <c r="S32" s="21">
        <v>5.0002419999999999E-2</v>
      </c>
      <c r="T32" s="19">
        <v>8.3329780000000006E-2</v>
      </c>
      <c r="U32" s="19">
        <v>0.19998692000000001</v>
      </c>
      <c r="V32" s="36">
        <v>0.33331913459508644</v>
      </c>
    </row>
    <row r="33" spans="1:22" x14ac:dyDescent="0.45">
      <c r="A33" s="21">
        <v>1812</v>
      </c>
      <c r="B33" s="20">
        <v>9.9996879999999996E-2</v>
      </c>
      <c r="C33" s="20">
        <v>0.13333437000000001</v>
      </c>
      <c r="D33" s="20">
        <v>0.20000936</v>
      </c>
      <c r="E33" s="22">
        <v>0.40000312013728545</v>
      </c>
      <c r="F33" s="19" t="s">
        <v>37</v>
      </c>
      <c r="G33" s="19" t="s">
        <v>36</v>
      </c>
      <c r="H33" s="19" t="s">
        <v>38</v>
      </c>
      <c r="I33" s="34"/>
      <c r="J33" s="34"/>
      <c r="L33" s="21">
        <v>6.4100000000000004E-2</v>
      </c>
      <c r="M33" s="19">
        <v>8.5470000000000004E-2</v>
      </c>
      <c r="N33" s="19">
        <v>0.12820999999999999</v>
      </c>
      <c r="O33" s="36">
        <v>0.25641000000000003</v>
      </c>
      <c r="Q33" s="34"/>
      <c r="S33" s="21">
        <v>9.9996879999999996E-2</v>
      </c>
      <c r="T33" s="19">
        <v>0.13333437000000001</v>
      </c>
      <c r="U33" s="19">
        <v>0.20000936</v>
      </c>
      <c r="V33" s="36">
        <v>0.40000312013728545</v>
      </c>
    </row>
    <row r="34" spans="1:22" x14ac:dyDescent="0.45">
      <c r="A34" s="21">
        <v>1813</v>
      </c>
      <c r="B34" s="20">
        <v>9.9998379999999998E-2</v>
      </c>
      <c r="C34" s="20">
        <v>0.13333117</v>
      </c>
      <c r="D34" s="20">
        <v>0.20000974999999999</v>
      </c>
      <c r="E34" s="22">
        <v>0.40000652030941236</v>
      </c>
      <c r="F34" s="19" t="s">
        <v>37</v>
      </c>
      <c r="G34" s="19" t="s">
        <v>36</v>
      </c>
      <c r="H34" s="19" t="s">
        <v>39</v>
      </c>
      <c r="I34" s="34"/>
      <c r="J34" s="34"/>
      <c r="L34" s="21">
        <v>7.6920000000000002E-2</v>
      </c>
      <c r="M34" s="19">
        <v>0.10256</v>
      </c>
      <c r="N34" s="19">
        <v>0.15384999999999999</v>
      </c>
      <c r="O34" s="36">
        <v>0.30769000000000002</v>
      </c>
      <c r="Q34" s="34"/>
      <c r="S34" s="21">
        <v>9.9998379999999998E-2</v>
      </c>
      <c r="T34" s="19">
        <v>0.13333117</v>
      </c>
      <c r="U34" s="19">
        <v>0.20000974999999999</v>
      </c>
      <c r="V34" s="36">
        <v>0.40000652030941236</v>
      </c>
    </row>
    <row r="35" spans="1:22" x14ac:dyDescent="0.45">
      <c r="A35" s="21">
        <v>1814</v>
      </c>
      <c r="B35" s="20">
        <v>8.9284260000000004E-2</v>
      </c>
      <c r="C35" s="20">
        <v>0.11904568</v>
      </c>
      <c r="D35" s="20">
        <v>0.17858013</v>
      </c>
      <c r="E35" s="22">
        <v>0.35714864741809677</v>
      </c>
      <c r="F35" s="19" t="s">
        <v>37</v>
      </c>
      <c r="G35" s="19" t="s">
        <v>36</v>
      </c>
      <c r="H35" s="19" t="s">
        <v>40</v>
      </c>
      <c r="I35" s="34"/>
      <c r="J35" s="34"/>
      <c r="L35" s="21">
        <v>7.6920000000000002E-2</v>
      </c>
      <c r="M35" s="19">
        <v>0.10256</v>
      </c>
      <c r="N35" s="19">
        <v>0.15384999999999999</v>
      </c>
      <c r="O35" s="36">
        <v>0.30769000000000002</v>
      </c>
      <c r="Q35" s="34"/>
      <c r="S35" s="21">
        <v>8.9284260000000004E-2</v>
      </c>
      <c r="T35" s="19">
        <v>0.11904568</v>
      </c>
      <c r="U35" s="19">
        <v>0.17858013</v>
      </c>
      <c r="V35" s="36">
        <v>0.35714864741809677</v>
      </c>
    </row>
    <row r="36" spans="1:22" x14ac:dyDescent="0.45">
      <c r="A36" s="21">
        <v>1815</v>
      </c>
      <c r="B36" s="20">
        <v>8.1634990000000004E-2</v>
      </c>
      <c r="C36" s="20">
        <v>0.10526315999999999</v>
      </c>
      <c r="D36" s="20">
        <v>0.22222222</v>
      </c>
      <c r="E36" s="22">
        <v>0.24489272536373186</v>
      </c>
      <c r="F36" s="19" t="s">
        <v>35</v>
      </c>
      <c r="G36" s="19" t="s">
        <v>36</v>
      </c>
      <c r="H36" s="19" t="s">
        <v>41</v>
      </c>
      <c r="I36" s="34"/>
      <c r="J36" s="34"/>
      <c r="L36" s="21">
        <v>6.6669999999999993E-2</v>
      </c>
      <c r="M36" s="19">
        <v>0.1</v>
      </c>
      <c r="N36" s="19">
        <v>0.1</v>
      </c>
      <c r="O36" s="36">
        <v>0.2</v>
      </c>
      <c r="Q36" s="34"/>
      <c r="S36" s="21">
        <v>8.1634990000000004E-2</v>
      </c>
      <c r="T36" s="19">
        <v>0.10526315999999999</v>
      </c>
      <c r="U36" s="19">
        <v>0.22222222</v>
      </c>
      <c r="V36" s="36">
        <v>0.24489272536373186</v>
      </c>
    </row>
    <row r="37" spans="1:22" x14ac:dyDescent="0.45">
      <c r="A37" s="21">
        <v>1826</v>
      </c>
      <c r="B37" s="20">
        <v>2.2859999999999998E-2</v>
      </c>
      <c r="C37" s="20">
        <v>3.8100000000000002E-2</v>
      </c>
      <c r="D37" s="20">
        <v>9.1429999999999997E-2</v>
      </c>
      <c r="E37" s="22">
        <v>0.15237999999999999</v>
      </c>
      <c r="F37" s="19" t="s">
        <v>42</v>
      </c>
      <c r="G37" s="19" t="s">
        <v>43</v>
      </c>
      <c r="H37" s="19" t="s">
        <v>65</v>
      </c>
      <c r="I37" s="34"/>
      <c r="J37" s="34"/>
      <c r="L37" s="21">
        <v>2.2859999999999998E-2</v>
      </c>
      <c r="M37" s="19">
        <v>3.8100000000000002E-2</v>
      </c>
      <c r="N37" s="19">
        <v>9.1429999999999997E-2</v>
      </c>
      <c r="O37" s="36">
        <v>0.15237999999999999</v>
      </c>
      <c r="Q37" s="34"/>
      <c r="S37" s="21">
        <v>2.2859999999999998E-2</v>
      </c>
      <c r="T37" s="19">
        <v>3.8100000000000002E-2</v>
      </c>
      <c r="U37" s="19">
        <v>9.1429999999999997E-2</v>
      </c>
      <c r="V37" s="36">
        <v>0.15237999999999999</v>
      </c>
    </row>
    <row r="38" spans="1:22" x14ac:dyDescent="0.45">
      <c r="A38" s="21">
        <v>1827</v>
      </c>
      <c r="B38" s="20">
        <v>2.6669999999999999E-2</v>
      </c>
      <c r="C38" s="20">
        <v>4.444E-2</v>
      </c>
      <c r="D38" s="20">
        <v>0.10667</v>
      </c>
      <c r="E38" s="22">
        <v>0.17777999999999999</v>
      </c>
      <c r="F38" s="19" t="s">
        <v>42</v>
      </c>
      <c r="G38" s="19" t="s">
        <v>43</v>
      </c>
      <c r="H38" s="19" t="s">
        <v>66</v>
      </c>
      <c r="I38" s="34"/>
      <c r="J38" s="34"/>
      <c r="L38" s="21">
        <v>2.6669999999999999E-2</v>
      </c>
      <c r="M38" s="19">
        <v>4.444E-2</v>
      </c>
      <c r="N38" s="19">
        <v>0.10667</v>
      </c>
      <c r="O38" s="36">
        <v>0.17777999999999999</v>
      </c>
      <c r="Q38" s="34"/>
      <c r="S38" s="21">
        <v>2.6669999999999999E-2</v>
      </c>
      <c r="T38" s="19">
        <v>4.444E-2</v>
      </c>
      <c r="U38" s="19">
        <v>0.10667</v>
      </c>
      <c r="V38" s="36">
        <v>0.17777999999999999</v>
      </c>
    </row>
    <row r="39" spans="1:22" x14ac:dyDescent="0.45">
      <c r="A39" s="21">
        <v>1828</v>
      </c>
      <c r="B39" s="20">
        <v>2.3879999999999998E-2</v>
      </c>
      <c r="C39" s="20">
        <v>3.9800000000000002E-2</v>
      </c>
      <c r="D39" s="20">
        <v>9.5519999999999994E-2</v>
      </c>
      <c r="E39" s="22">
        <v>0.15920000000000001</v>
      </c>
      <c r="F39" s="19" t="s">
        <v>42</v>
      </c>
      <c r="G39" s="19" t="s">
        <v>43</v>
      </c>
      <c r="H39" s="19" t="s">
        <v>67</v>
      </c>
      <c r="I39" s="34"/>
      <c r="J39" s="34"/>
      <c r="L39" s="21">
        <v>2.3879999999999998E-2</v>
      </c>
      <c r="M39" s="19">
        <v>3.9800000000000002E-2</v>
      </c>
      <c r="N39" s="19">
        <v>9.5519999999999994E-2</v>
      </c>
      <c r="O39" s="36">
        <v>0.15920000000000001</v>
      </c>
      <c r="Q39" s="34"/>
      <c r="S39" s="21">
        <v>2.3879999999999998E-2</v>
      </c>
      <c r="T39" s="19">
        <v>3.9800000000000002E-2</v>
      </c>
      <c r="U39" s="19">
        <v>9.5519999999999994E-2</v>
      </c>
      <c r="V39" s="36">
        <v>0.15920000000000001</v>
      </c>
    </row>
    <row r="40" spans="1:22" x14ac:dyDescent="0.45">
      <c r="A40" s="21">
        <v>1829</v>
      </c>
      <c r="B40" s="20">
        <v>2.00012E-2</v>
      </c>
      <c r="C40" s="20">
        <v>3.333158E-2</v>
      </c>
      <c r="D40" s="20">
        <v>7.9993529999999993E-2</v>
      </c>
      <c r="E40" s="22">
        <v>0.13332633430821147</v>
      </c>
      <c r="F40" s="19" t="s">
        <v>42</v>
      </c>
      <c r="G40" s="19" t="s">
        <v>43</v>
      </c>
      <c r="H40" s="19" t="s">
        <v>68</v>
      </c>
      <c r="I40" s="34"/>
      <c r="J40" s="34"/>
      <c r="L40" s="21">
        <v>3.5560000000000001E-2</v>
      </c>
      <c r="M40" s="19">
        <v>5.926E-2</v>
      </c>
      <c r="N40" s="19">
        <v>0.14222000000000001</v>
      </c>
      <c r="O40" s="36">
        <v>0.23704</v>
      </c>
      <c r="Q40" s="34"/>
      <c r="S40" s="21">
        <v>2.00012E-2</v>
      </c>
      <c r="T40" s="19">
        <v>3.333158E-2</v>
      </c>
      <c r="U40" s="19">
        <v>7.9993529999999993E-2</v>
      </c>
      <c r="V40" s="36">
        <v>0.13332633430821147</v>
      </c>
    </row>
    <row r="41" spans="1:22" x14ac:dyDescent="0.45">
      <c r="A41" s="21">
        <v>1830</v>
      </c>
      <c r="B41" s="20">
        <v>3.333626E-2</v>
      </c>
      <c r="C41" s="20">
        <v>5.5547930000000002E-2</v>
      </c>
      <c r="D41" s="20">
        <v>0.13333252000000001</v>
      </c>
      <c r="E41" s="22">
        <v>0.22221673426321709</v>
      </c>
      <c r="F41" s="19" t="s">
        <v>42</v>
      </c>
      <c r="G41" s="19" t="s">
        <v>43</v>
      </c>
      <c r="H41" s="19" t="s">
        <v>44</v>
      </c>
      <c r="I41" s="34"/>
      <c r="J41" s="34"/>
      <c r="L41" s="21">
        <v>2.6669999999999999E-2</v>
      </c>
      <c r="M41" s="19">
        <v>4.444E-2</v>
      </c>
      <c r="N41" s="19">
        <v>0.10667</v>
      </c>
      <c r="O41" s="36">
        <v>0.17777999999999999</v>
      </c>
      <c r="Q41" s="34"/>
      <c r="S41" s="21">
        <v>3.333626E-2</v>
      </c>
      <c r="T41" s="19">
        <v>5.5547930000000002E-2</v>
      </c>
      <c r="U41" s="19">
        <v>0.13333252000000001</v>
      </c>
      <c r="V41" s="36">
        <v>0.22221673426321709</v>
      </c>
    </row>
    <row r="42" spans="1:22" x14ac:dyDescent="0.45">
      <c r="A42" s="21">
        <v>1832</v>
      </c>
      <c r="B42" s="20">
        <v>3.3329999999999999E-2</v>
      </c>
      <c r="C42" s="20">
        <v>4.444E-2</v>
      </c>
      <c r="D42" s="20">
        <v>6.6669999999999993E-2</v>
      </c>
      <c r="E42" s="22">
        <v>0.13333</v>
      </c>
      <c r="F42" s="19" t="s">
        <v>42</v>
      </c>
      <c r="G42" s="19" t="s">
        <v>45</v>
      </c>
      <c r="H42" s="19" t="s">
        <v>53</v>
      </c>
      <c r="I42" s="34"/>
      <c r="J42" s="34"/>
      <c r="L42" s="21">
        <v>3.3329999999999999E-2</v>
      </c>
      <c r="M42" s="19">
        <v>4.444E-2</v>
      </c>
      <c r="N42" s="19">
        <v>6.6669999999999993E-2</v>
      </c>
      <c r="O42" s="36">
        <v>0.13333</v>
      </c>
      <c r="Q42" s="34"/>
      <c r="S42" s="21">
        <v>3.3329999999999999E-2</v>
      </c>
      <c r="T42" s="19">
        <v>4.444E-2</v>
      </c>
      <c r="U42" s="19">
        <v>6.6669999999999993E-2</v>
      </c>
      <c r="V42" s="36">
        <v>0.13333</v>
      </c>
    </row>
    <row r="43" spans="1:22" x14ac:dyDescent="0.45">
      <c r="A43" s="21">
        <v>1833</v>
      </c>
      <c r="B43" s="20">
        <v>3.6360000000000003E-2</v>
      </c>
      <c r="C43" s="20">
        <v>4.8480000000000002E-2</v>
      </c>
      <c r="D43" s="20">
        <v>7.2730000000000003E-2</v>
      </c>
      <c r="E43" s="22">
        <v>0.14545</v>
      </c>
      <c r="F43" s="19" t="s">
        <v>42</v>
      </c>
      <c r="G43" s="19" t="s">
        <v>45</v>
      </c>
      <c r="H43" s="19" t="s">
        <v>69</v>
      </c>
      <c r="I43" s="34"/>
      <c r="J43" s="34"/>
      <c r="L43" s="21">
        <v>3.6360000000000003E-2</v>
      </c>
      <c r="M43" s="19">
        <v>4.8480000000000002E-2</v>
      </c>
      <c r="N43" s="19">
        <v>7.2730000000000003E-2</v>
      </c>
      <c r="O43" s="36">
        <v>0.14545</v>
      </c>
      <c r="Q43" s="34"/>
      <c r="S43" s="21">
        <v>3.6360000000000003E-2</v>
      </c>
      <c r="T43" s="19">
        <v>4.8480000000000002E-2</v>
      </c>
      <c r="U43" s="19">
        <v>7.2730000000000003E-2</v>
      </c>
      <c r="V43" s="36">
        <v>0.14545</v>
      </c>
    </row>
    <row r="44" spans="1:22" x14ac:dyDescent="0.45">
      <c r="A44" s="21">
        <v>1834</v>
      </c>
      <c r="B44" s="20">
        <v>4.5449999999999997E-2</v>
      </c>
      <c r="C44" s="20">
        <v>6.0609999999999997E-2</v>
      </c>
      <c r="D44" s="20">
        <v>9.0910000000000005E-2</v>
      </c>
      <c r="E44" s="22">
        <v>0.18182000000000001</v>
      </c>
      <c r="F44" s="19" t="s">
        <v>42</v>
      </c>
      <c r="G44" s="19" t="s">
        <v>45</v>
      </c>
      <c r="H44" s="19" t="s">
        <v>70</v>
      </c>
      <c r="I44" s="34"/>
      <c r="J44" s="34"/>
      <c r="L44" s="21">
        <v>4.5449999999999997E-2</v>
      </c>
      <c r="M44" s="19">
        <v>6.0609999999999997E-2</v>
      </c>
      <c r="N44" s="19">
        <v>9.0910000000000005E-2</v>
      </c>
      <c r="O44" s="36">
        <v>0.18182000000000001</v>
      </c>
      <c r="Q44" s="34"/>
      <c r="S44" s="21">
        <v>4.5449999999999997E-2</v>
      </c>
      <c r="T44" s="19">
        <v>6.0609999999999997E-2</v>
      </c>
      <c r="U44" s="19">
        <v>9.0910000000000005E-2</v>
      </c>
      <c r="V44" s="36">
        <v>0.18182000000000001</v>
      </c>
    </row>
    <row r="45" spans="1:22" x14ac:dyDescent="0.45">
      <c r="A45" s="21">
        <v>1835</v>
      </c>
      <c r="B45" s="20">
        <v>4.444E-2</v>
      </c>
      <c r="C45" s="20">
        <v>5.926E-2</v>
      </c>
      <c r="D45" s="20">
        <v>8.8889999999999997E-2</v>
      </c>
      <c r="E45" s="22">
        <v>0.17777999999999999</v>
      </c>
      <c r="F45" s="19" t="s">
        <v>42</v>
      </c>
      <c r="G45" s="19" t="s">
        <v>45</v>
      </c>
      <c r="H45" s="19" t="s">
        <v>71</v>
      </c>
      <c r="I45" s="34"/>
      <c r="J45" s="34"/>
      <c r="L45" s="21">
        <v>4.444E-2</v>
      </c>
      <c r="M45" s="19">
        <v>5.926E-2</v>
      </c>
      <c r="N45" s="19">
        <v>8.8889999999999997E-2</v>
      </c>
      <c r="O45" s="36">
        <v>0.17777999999999999</v>
      </c>
      <c r="Q45" s="34"/>
      <c r="S45" s="21">
        <v>4.444E-2</v>
      </c>
      <c r="T45" s="19">
        <v>5.926E-2</v>
      </c>
      <c r="U45" s="19">
        <v>8.8889999999999997E-2</v>
      </c>
      <c r="V45" s="36">
        <v>0.17777999999999999</v>
      </c>
    </row>
    <row r="46" spans="1:22" x14ac:dyDescent="0.45">
      <c r="A46" s="21">
        <v>1836</v>
      </c>
      <c r="B46" s="20">
        <v>0.05</v>
      </c>
      <c r="C46" s="20">
        <v>6.6669999999999993E-2</v>
      </c>
      <c r="D46" s="20">
        <v>0.1</v>
      </c>
      <c r="E46" s="22">
        <v>0.2</v>
      </c>
      <c r="F46" s="19" t="s">
        <v>42</v>
      </c>
      <c r="G46" s="19" t="s">
        <v>45</v>
      </c>
      <c r="H46" s="19" t="s">
        <v>72</v>
      </c>
      <c r="I46" s="34"/>
      <c r="J46" s="34"/>
      <c r="L46" s="21">
        <v>0.05</v>
      </c>
      <c r="M46" s="19">
        <v>6.6669999999999993E-2</v>
      </c>
      <c r="N46" s="19">
        <v>0.1</v>
      </c>
      <c r="O46" s="36">
        <v>0.2</v>
      </c>
      <c r="Q46" s="34"/>
      <c r="S46" s="21">
        <v>0.05</v>
      </c>
      <c r="T46" s="19">
        <v>6.6669999999999993E-2</v>
      </c>
      <c r="U46" s="19">
        <v>0.1</v>
      </c>
      <c r="V46" s="36">
        <v>0.2</v>
      </c>
    </row>
    <row r="47" spans="1:22" x14ac:dyDescent="0.45">
      <c r="A47" s="21">
        <v>1837</v>
      </c>
      <c r="B47" s="20">
        <v>8.333583E-2</v>
      </c>
      <c r="C47" s="20">
        <v>0.11111028000000001</v>
      </c>
      <c r="D47" s="20">
        <v>0.16665917</v>
      </c>
      <c r="E47" s="22">
        <v>0.33333082025048755</v>
      </c>
      <c r="F47" s="19" t="s">
        <v>42</v>
      </c>
      <c r="G47" s="19" t="s">
        <v>45</v>
      </c>
      <c r="H47" s="19" t="s">
        <v>73</v>
      </c>
      <c r="I47" s="34"/>
      <c r="J47" s="34"/>
      <c r="L47" s="21">
        <v>6.6669999999999993E-2</v>
      </c>
      <c r="M47" s="19">
        <v>8.8889999999999997E-2</v>
      </c>
      <c r="N47" s="19">
        <v>0.13333</v>
      </c>
      <c r="O47" s="36">
        <v>0.26667000000000002</v>
      </c>
      <c r="Q47" s="34"/>
      <c r="S47" s="21">
        <v>8.333583E-2</v>
      </c>
      <c r="T47" s="19">
        <v>0.11111028000000001</v>
      </c>
      <c r="U47" s="19">
        <v>0.16665917</v>
      </c>
      <c r="V47" s="36">
        <v>0.33333082025048755</v>
      </c>
    </row>
    <row r="48" spans="1:22" x14ac:dyDescent="0.45">
      <c r="A48" s="21">
        <v>1839</v>
      </c>
      <c r="B48" s="20">
        <v>7.1426069999999994E-2</v>
      </c>
      <c r="C48" s="20">
        <v>9.5238929999999999E-2</v>
      </c>
      <c r="D48" s="20">
        <v>0.14286463999999999</v>
      </c>
      <c r="E48" s="22">
        <v>0.28571678018725932</v>
      </c>
      <c r="F48" s="19" t="s">
        <v>42</v>
      </c>
      <c r="G48" s="19" t="s">
        <v>45</v>
      </c>
      <c r="H48" s="19" t="s">
        <v>74</v>
      </c>
      <c r="I48" s="34"/>
      <c r="J48" s="34"/>
      <c r="L48" s="21">
        <v>5.7140000000000003E-2</v>
      </c>
      <c r="M48" s="19">
        <v>7.6189999999999994E-2</v>
      </c>
      <c r="N48" s="19">
        <v>0.11429</v>
      </c>
      <c r="O48" s="36">
        <v>0.22857</v>
      </c>
      <c r="Q48" s="34"/>
      <c r="S48" s="21">
        <v>7.1426069999999994E-2</v>
      </c>
      <c r="T48" s="19">
        <v>9.5238929999999999E-2</v>
      </c>
      <c r="U48" s="19">
        <v>0.14286463999999999</v>
      </c>
      <c r="V48" s="36">
        <v>0.28571678018725932</v>
      </c>
    </row>
    <row r="49" spans="1:22" x14ac:dyDescent="0.45">
      <c r="A49" s="21">
        <v>1840</v>
      </c>
      <c r="B49" s="20">
        <v>9.9999060000000001E-2</v>
      </c>
      <c r="C49" s="20">
        <v>0.13333624999999999</v>
      </c>
      <c r="D49" s="20">
        <v>0.19999813</v>
      </c>
      <c r="E49" s="22">
        <v>0.39999624</v>
      </c>
      <c r="F49" s="19" t="s">
        <v>42</v>
      </c>
      <c r="G49" s="19" t="s">
        <v>45</v>
      </c>
      <c r="H49" s="19" t="s">
        <v>75</v>
      </c>
      <c r="I49" s="34"/>
      <c r="J49" s="34"/>
      <c r="L49" s="21">
        <v>0.08</v>
      </c>
      <c r="M49" s="19">
        <v>0.10667</v>
      </c>
      <c r="N49" s="19">
        <v>0.16</v>
      </c>
      <c r="O49" s="36">
        <v>0.32</v>
      </c>
      <c r="Q49" s="34"/>
      <c r="S49" s="21">
        <v>9.9999060000000001E-2</v>
      </c>
      <c r="T49" s="19">
        <v>0.13333624999999999</v>
      </c>
      <c r="U49" s="19">
        <v>0.19999813</v>
      </c>
      <c r="V49" s="36">
        <v>0.39999624</v>
      </c>
    </row>
    <row r="50" spans="1:22" x14ac:dyDescent="0.45">
      <c r="A50" s="21">
        <v>1841</v>
      </c>
      <c r="B50" s="20">
        <v>2.9850000000000002E-2</v>
      </c>
      <c r="C50" s="20">
        <v>3.9800000000000002E-2</v>
      </c>
      <c r="D50" s="20">
        <v>5.9700000000000003E-2</v>
      </c>
      <c r="E50" s="22">
        <v>0.11940000000000001</v>
      </c>
      <c r="F50" s="19" t="s">
        <v>42</v>
      </c>
      <c r="G50" s="19" t="s">
        <v>45</v>
      </c>
      <c r="H50" s="19" t="s">
        <v>76</v>
      </c>
      <c r="I50" s="34"/>
      <c r="J50" s="34"/>
      <c r="L50" s="21">
        <v>2.9850000000000002E-2</v>
      </c>
      <c r="M50" s="19">
        <v>3.9800000000000002E-2</v>
      </c>
      <c r="N50" s="19">
        <v>5.9700000000000003E-2</v>
      </c>
      <c r="O50" s="36">
        <v>0.11940000000000001</v>
      </c>
      <c r="Q50" s="34"/>
      <c r="S50" s="21">
        <v>2.9850000000000002E-2</v>
      </c>
      <c r="T50" s="19">
        <v>3.9800000000000002E-2</v>
      </c>
      <c r="U50" s="19">
        <v>5.9700000000000003E-2</v>
      </c>
      <c r="V50" s="36">
        <v>0.11940000000000001</v>
      </c>
    </row>
    <row r="51" spans="1:22" x14ac:dyDescent="0.45">
      <c r="A51" s="21">
        <v>1842</v>
      </c>
      <c r="B51" s="20">
        <v>8.9284879999999997E-2</v>
      </c>
      <c r="C51" s="20">
        <v>0.11905022</v>
      </c>
      <c r="D51" s="20">
        <v>0.17856975</v>
      </c>
      <c r="E51" s="22">
        <v>0.35713951999999999</v>
      </c>
      <c r="F51" s="19" t="s">
        <v>42</v>
      </c>
      <c r="G51" s="19" t="s">
        <v>45</v>
      </c>
      <c r="H51" s="19" t="s">
        <v>77</v>
      </c>
      <c r="I51" s="34"/>
      <c r="J51" s="34"/>
      <c r="L51" s="21">
        <v>0.08</v>
      </c>
      <c r="M51" s="19">
        <v>0.10667</v>
      </c>
      <c r="N51" s="19">
        <v>0.16</v>
      </c>
      <c r="O51" s="36">
        <v>0.32</v>
      </c>
      <c r="Q51" s="34"/>
      <c r="S51" s="21">
        <v>8.9284879999999997E-2</v>
      </c>
      <c r="T51" s="19">
        <v>0.11905022</v>
      </c>
      <c r="U51" s="19">
        <v>0.17856975</v>
      </c>
      <c r="V51" s="36">
        <v>0.35713951999999999</v>
      </c>
    </row>
    <row r="52" spans="1:22" x14ac:dyDescent="0.45">
      <c r="A52" s="21">
        <v>1843</v>
      </c>
      <c r="B52" s="20">
        <v>0.1</v>
      </c>
      <c r="C52" s="20">
        <v>0.13333</v>
      </c>
      <c r="D52" s="20">
        <v>0.2</v>
      </c>
      <c r="E52" s="22">
        <v>0.4</v>
      </c>
      <c r="F52" s="19" t="s">
        <v>42</v>
      </c>
      <c r="G52" s="19" t="s">
        <v>45</v>
      </c>
      <c r="H52" s="19" t="s">
        <v>78</v>
      </c>
      <c r="I52" s="34"/>
      <c r="J52" s="34"/>
      <c r="L52" s="21">
        <v>0.1</v>
      </c>
      <c r="M52" s="19">
        <v>0.13333</v>
      </c>
      <c r="N52" s="19">
        <v>0.2</v>
      </c>
      <c r="O52" s="36">
        <v>0.4</v>
      </c>
      <c r="Q52" s="34"/>
      <c r="S52" s="21">
        <v>0.1</v>
      </c>
      <c r="T52" s="19">
        <v>0.13333</v>
      </c>
      <c r="U52" s="19">
        <v>0.2</v>
      </c>
      <c r="V52" s="36">
        <v>0.4</v>
      </c>
    </row>
    <row r="53" spans="1:22" x14ac:dyDescent="0.45">
      <c r="A53" s="21">
        <v>1846</v>
      </c>
      <c r="B53" s="20">
        <v>5.5556599999999998E-2</v>
      </c>
      <c r="C53" s="20">
        <v>7.4070830000000004E-2</v>
      </c>
      <c r="D53" s="20">
        <v>0.11111319</v>
      </c>
      <c r="E53" s="22">
        <v>0.22222639999999999</v>
      </c>
      <c r="F53" s="19" t="s">
        <v>42</v>
      </c>
      <c r="G53" s="19" t="s">
        <v>79</v>
      </c>
      <c r="H53" s="19" t="s">
        <v>80</v>
      </c>
      <c r="I53" s="34"/>
      <c r="J53" s="34"/>
      <c r="L53" s="21">
        <v>0.04</v>
      </c>
      <c r="M53" s="19">
        <v>5.3330000000000002E-2</v>
      </c>
      <c r="N53" s="19">
        <v>0.08</v>
      </c>
      <c r="O53" s="36">
        <v>0.16</v>
      </c>
      <c r="Q53" s="34"/>
      <c r="S53" s="21">
        <v>5.5556599999999998E-2</v>
      </c>
      <c r="T53" s="19">
        <v>7.4070830000000004E-2</v>
      </c>
      <c r="U53" s="19">
        <v>0.11111319</v>
      </c>
      <c r="V53" s="36">
        <v>0.22222639999999999</v>
      </c>
    </row>
    <row r="54" spans="1:22" x14ac:dyDescent="0.45">
      <c r="A54" s="21">
        <v>1847</v>
      </c>
      <c r="B54" s="20">
        <v>5.7140000000000003E-2</v>
      </c>
      <c r="C54" s="20">
        <v>7.6189999999999994E-2</v>
      </c>
      <c r="D54" s="20">
        <v>0.11429</v>
      </c>
      <c r="E54" s="22">
        <v>0.22857</v>
      </c>
      <c r="F54" s="19" t="s">
        <v>42</v>
      </c>
      <c r="G54" s="19" t="s">
        <v>79</v>
      </c>
      <c r="H54" s="19" t="s">
        <v>81</v>
      </c>
      <c r="I54" s="34"/>
      <c r="J54" s="34"/>
      <c r="L54" s="21">
        <v>5.7140000000000003E-2</v>
      </c>
      <c r="M54" s="19">
        <v>7.6189999999999994E-2</v>
      </c>
      <c r="N54" s="19">
        <v>0.11429</v>
      </c>
      <c r="O54" s="36">
        <v>0.22857</v>
      </c>
      <c r="Q54" s="34"/>
      <c r="S54" s="21">
        <v>5.7140000000000003E-2</v>
      </c>
      <c r="T54" s="19">
        <v>7.6189999999999994E-2</v>
      </c>
      <c r="U54" s="19">
        <v>0.11429</v>
      </c>
      <c r="V54" s="36">
        <v>0.22857</v>
      </c>
    </row>
    <row r="55" spans="1:22" x14ac:dyDescent="0.45">
      <c r="A55" s="21">
        <v>1848</v>
      </c>
      <c r="B55" s="20">
        <v>8.333583E-2</v>
      </c>
      <c r="C55" s="20">
        <v>0.11111028000000001</v>
      </c>
      <c r="D55" s="20">
        <v>0.16665917</v>
      </c>
      <c r="E55" s="22">
        <v>0.33333082025048755</v>
      </c>
      <c r="F55" s="19" t="s">
        <v>42</v>
      </c>
      <c r="G55" s="19" t="s">
        <v>79</v>
      </c>
      <c r="H55" s="19" t="s">
        <v>82</v>
      </c>
      <c r="I55" s="34"/>
      <c r="J55" s="34"/>
      <c r="L55" s="21">
        <v>6.6669999999999993E-2</v>
      </c>
      <c r="M55" s="19">
        <v>8.8889999999999997E-2</v>
      </c>
      <c r="N55" s="19">
        <v>0.13333</v>
      </c>
      <c r="O55" s="36">
        <v>0.26667000000000002</v>
      </c>
      <c r="Q55" s="34"/>
      <c r="S55" s="21">
        <v>8.333583E-2</v>
      </c>
      <c r="T55" s="19">
        <v>0.11111028000000001</v>
      </c>
      <c r="U55" s="19">
        <v>0.16665917</v>
      </c>
      <c r="V55" s="36">
        <v>0.33333082025048755</v>
      </c>
    </row>
    <row r="56" spans="1:22" x14ac:dyDescent="0.45">
      <c r="A56" s="21">
        <v>1849</v>
      </c>
      <c r="B56" s="20">
        <v>0.1</v>
      </c>
      <c r="C56" s="20">
        <v>0.13333</v>
      </c>
      <c r="D56" s="20">
        <v>0.2</v>
      </c>
      <c r="E56" s="22">
        <v>0.4</v>
      </c>
      <c r="F56" s="19" t="s">
        <v>42</v>
      </c>
      <c r="G56" s="19" t="s">
        <v>79</v>
      </c>
      <c r="H56" s="19" t="s">
        <v>78</v>
      </c>
      <c r="I56" s="34"/>
      <c r="J56" s="34"/>
      <c r="L56" s="21">
        <v>0.1</v>
      </c>
      <c r="M56" s="19">
        <v>0.13333</v>
      </c>
      <c r="N56" s="19">
        <v>0.2</v>
      </c>
      <c r="O56" s="36">
        <v>0.4</v>
      </c>
      <c r="Q56" s="34"/>
      <c r="S56" s="21">
        <v>0.1</v>
      </c>
      <c r="T56" s="19">
        <v>0.13333</v>
      </c>
      <c r="U56" s="19">
        <v>0.2</v>
      </c>
      <c r="V56" s="36">
        <v>0.4</v>
      </c>
    </row>
    <row r="57" spans="1:22" x14ac:dyDescent="0.45">
      <c r="A57" s="21">
        <v>1854</v>
      </c>
      <c r="B57" s="20">
        <v>6.8970000000000004E-2</v>
      </c>
      <c r="C57" s="20">
        <v>9.1950000000000004E-2</v>
      </c>
      <c r="D57" s="20">
        <v>0.13793</v>
      </c>
      <c r="E57" s="22">
        <v>0.27585999999999999</v>
      </c>
      <c r="F57" s="19" t="s">
        <v>42</v>
      </c>
      <c r="G57" s="19" t="s">
        <v>83</v>
      </c>
      <c r="H57" s="19" t="s">
        <v>54</v>
      </c>
      <c r="I57" s="34"/>
      <c r="J57" s="34"/>
      <c r="L57" s="21">
        <v>6.8970000000000004E-2</v>
      </c>
      <c r="M57" s="19">
        <v>9.1950000000000004E-2</v>
      </c>
      <c r="N57" s="19">
        <v>0.13793</v>
      </c>
      <c r="O57" s="36">
        <v>0.27585999999999999</v>
      </c>
      <c r="Q57" s="34"/>
      <c r="S57" s="21">
        <v>6.8970000000000004E-2</v>
      </c>
      <c r="T57" s="19">
        <v>9.1950000000000004E-2</v>
      </c>
      <c r="U57" s="19">
        <v>0.13793</v>
      </c>
      <c r="V57" s="36">
        <v>0.27585999999999999</v>
      </c>
    </row>
    <row r="58" spans="1:22" x14ac:dyDescent="0.45">
      <c r="A58" s="21">
        <v>1855</v>
      </c>
      <c r="B58" s="20">
        <v>0.08</v>
      </c>
      <c r="C58" s="20">
        <v>0.10667</v>
      </c>
      <c r="D58" s="20">
        <v>0.16</v>
      </c>
      <c r="E58" s="22">
        <v>0.32</v>
      </c>
      <c r="F58" s="19" t="s">
        <v>42</v>
      </c>
      <c r="G58" s="19" t="s">
        <v>83</v>
      </c>
      <c r="H58" s="19" t="s">
        <v>55</v>
      </c>
      <c r="I58" s="34"/>
      <c r="J58" s="34"/>
      <c r="L58" s="21">
        <v>0.08</v>
      </c>
      <c r="M58" s="19">
        <v>0.10667</v>
      </c>
      <c r="N58" s="19">
        <v>0.16</v>
      </c>
      <c r="O58" s="36">
        <v>0.32</v>
      </c>
      <c r="Q58" s="34"/>
      <c r="S58" s="21">
        <v>0.08</v>
      </c>
      <c r="T58" s="19">
        <v>0.10667</v>
      </c>
      <c r="U58" s="19">
        <v>0.16</v>
      </c>
      <c r="V58" s="36">
        <v>0.32</v>
      </c>
    </row>
    <row r="59" spans="1:22" x14ac:dyDescent="0.45">
      <c r="A59" s="21">
        <v>1856</v>
      </c>
      <c r="B59" s="20">
        <v>0.1</v>
      </c>
      <c r="C59" s="20">
        <v>0.13333</v>
      </c>
      <c r="D59" s="20">
        <v>0.2</v>
      </c>
      <c r="E59" s="22">
        <v>0.4</v>
      </c>
      <c r="F59" s="19" t="s">
        <v>42</v>
      </c>
      <c r="G59" s="19" t="s">
        <v>83</v>
      </c>
      <c r="H59" s="19" t="s">
        <v>84</v>
      </c>
      <c r="I59" s="34"/>
      <c r="J59" s="34"/>
      <c r="L59" s="21">
        <v>0.1</v>
      </c>
      <c r="M59" s="19">
        <v>0.13333</v>
      </c>
      <c r="N59" s="19">
        <v>0.2</v>
      </c>
      <c r="O59" s="36">
        <v>0.4</v>
      </c>
      <c r="Q59" s="34"/>
      <c r="S59" s="21">
        <v>0.1</v>
      </c>
      <c r="T59" s="19">
        <v>0.13333</v>
      </c>
      <c r="U59" s="19">
        <v>0.2</v>
      </c>
      <c r="V59" s="36">
        <v>0.4</v>
      </c>
    </row>
    <row r="60" spans="1:22" x14ac:dyDescent="0.45">
      <c r="A60" s="21">
        <v>1862</v>
      </c>
      <c r="B60" s="20">
        <v>2.564E-2</v>
      </c>
      <c r="C60" s="20">
        <v>4.274E-2</v>
      </c>
      <c r="D60" s="20">
        <v>0.10256</v>
      </c>
      <c r="E60" s="22">
        <v>0.17094000000000001</v>
      </c>
      <c r="F60" s="19" t="s">
        <v>85</v>
      </c>
      <c r="G60" s="19" t="s">
        <v>86</v>
      </c>
      <c r="H60" s="19" t="s">
        <v>87</v>
      </c>
      <c r="I60" s="34"/>
      <c r="J60" s="34"/>
      <c r="L60" s="21">
        <v>2.564E-2</v>
      </c>
      <c r="M60" s="19">
        <v>4.274E-2</v>
      </c>
      <c r="N60" s="19">
        <v>0.10256</v>
      </c>
      <c r="O60" s="36">
        <v>0.17094000000000001</v>
      </c>
      <c r="Q60" s="34"/>
      <c r="S60" s="21">
        <v>2.564E-2</v>
      </c>
      <c r="T60" s="19">
        <v>4.274E-2</v>
      </c>
      <c r="U60" s="19">
        <v>0.10256</v>
      </c>
      <c r="V60" s="36">
        <v>0.17094000000000001</v>
      </c>
    </row>
    <row r="61" spans="1:22" x14ac:dyDescent="0.45">
      <c r="A61" s="21">
        <v>1863</v>
      </c>
      <c r="B61" s="20">
        <v>4.0000830000000001E-2</v>
      </c>
      <c r="C61" s="20">
        <v>6.6663710000000001E-2</v>
      </c>
      <c r="D61" s="20">
        <v>0.16000332</v>
      </c>
      <c r="E61" s="22">
        <v>0.26666786668508291</v>
      </c>
      <c r="F61" s="19" t="s">
        <v>85</v>
      </c>
      <c r="G61" s="19" t="s">
        <v>86</v>
      </c>
      <c r="H61" s="19" t="s">
        <v>88</v>
      </c>
      <c r="I61" s="34"/>
      <c r="J61" s="34"/>
      <c r="L61" s="21">
        <v>3.0769999999999999E-2</v>
      </c>
      <c r="M61" s="19">
        <v>5.1279999999999999E-2</v>
      </c>
      <c r="N61" s="19">
        <v>0.12307999999999999</v>
      </c>
      <c r="O61" s="36">
        <v>0.20513000000000001</v>
      </c>
      <c r="Q61" s="34"/>
      <c r="S61" s="21">
        <v>4.0000830000000001E-2</v>
      </c>
      <c r="T61" s="19">
        <v>6.6663710000000001E-2</v>
      </c>
      <c r="U61" s="19">
        <v>0.16000332</v>
      </c>
      <c r="V61" s="36">
        <v>0.26666786668508291</v>
      </c>
    </row>
    <row r="62" spans="1:22" x14ac:dyDescent="0.45">
      <c r="A62" s="21">
        <v>1864</v>
      </c>
      <c r="B62" s="20">
        <v>6.1539999999999997E-2</v>
      </c>
      <c r="C62" s="20">
        <v>0.10256</v>
      </c>
      <c r="D62" s="20">
        <v>0.24615000000000001</v>
      </c>
      <c r="E62" s="22">
        <v>0.41026000000000001</v>
      </c>
      <c r="F62" s="19" t="s">
        <v>85</v>
      </c>
      <c r="G62" s="19" t="s">
        <v>86</v>
      </c>
      <c r="H62" s="19" t="s">
        <v>89</v>
      </c>
      <c r="I62" s="34"/>
      <c r="J62" s="34"/>
      <c r="L62" s="21">
        <v>6.1539999999999997E-2</v>
      </c>
      <c r="M62" s="19">
        <v>0.10256</v>
      </c>
      <c r="N62" s="19">
        <v>0.24615000000000001</v>
      </c>
      <c r="O62" s="36">
        <v>0.41026000000000001</v>
      </c>
      <c r="Q62" s="34"/>
      <c r="S62" s="21">
        <v>6.1539999999999997E-2</v>
      </c>
      <c r="T62" s="19">
        <v>0.10256</v>
      </c>
      <c r="U62" s="19">
        <v>0.24615000000000001</v>
      </c>
      <c r="V62" s="36">
        <v>0.41026000000000001</v>
      </c>
    </row>
    <row r="63" spans="1:22" x14ac:dyDescent="0.45">
      <c r="A63" s="21">
        <v>1865</v>
      </c>
      <c r="B63" s="20">
        <v>7.4075989999999994E-2</v>
      </c>
      <c r="C63" s="20">
        <v>0.12345195</v>
      </c>
      <c r="D63" s="20">
        <v>0.2962919</v>
      </c>
      <c r="E63" s="22">
        <v>0.49383190863503418</v>
      </c>
      <c r="F63" s="19" t="s">
        <v>85</v>
      </c>
      <c r="G63" s="19" t="s">
        <v>86</v>
      </c>
      <c r="H63" s="19" t="s">
        <v>90</v>
      </c>
      <c r="I63" s="34"/>
      <c r="J63" s="34"/>
      <c r="L63" s="21">
        <v>6.1539999999999997E-2</v>
      </c>
      <c r="M63" s="19">
        <v>0.10256</v>
      </c>
      <c r="N63" s="19">
        <v>0.24615000000000001</v>
      </c>
      <c r="O63" s="36">
        <v>0.41026000000000001</v>
      </c>
      <c r="Q63" s="34"/>
      <c r="S63" s="21">
        <v>7.4075989999999994E-2</v>
      </c>
      <c r="T63" s="19">
        <v>0.12345195</v>
      </c>
      <c r="U63" s="19">
        <v>0.2962919</v>
      </c>
      <c r="V63" s="36">
        <v>0.49383190863503418</v>
      </c>
    </row>
    <row r="64" spans="1:22" x14ac:dyDescent="0.45">
      <c r="A64" s="21">
        <v>1870</v>
      </c>
      <c r="B64" s="20">
        <v>4.9999679999999998E-2</v>
      </c>
      <c r="C64" s="20">
        <v>6.6666230000000007E-2</v>
      </c>
      <c r="D64" s="20">
        <v>9.9999350000000001E-2</v>
      </c>
      <c r="E64" s="22">
        <v>0.20001172043681745</v>
      </c>
      <c r="F64" s="19" t="s">
        <v>85</v>
      </c>
      <c r="G64" s="19" t="s">
        <v>91</v>
      </c>
      <c r="H64" s="19" t="s">
        <v>80</v>
      </c>
      <c r="I64" s="34"/>
      <c r="J64" s="34"/>
      <c r="L64" s="21">
        <v>3.8460000000000001E-2</v>
      </c>
      <c r="M64" s="19">
        <v>5.1279999999999999E-2</v>
      </c>
      <c r="N64" s="19">
        <v>7.6920000000000002E-2</v>
      </c>
      <c r="O64" s="36">
        <v>0.15384999999999999</v>
      </c>
      <c r="Q64" s="34"/>
      <c r="S64" s="21">
        <v>4.9999679999999998E-2</v>
      </c>
      <c r="T64" s="19">
        <v>6.6666230000000007E-2</v>
      </c>
      <c r="U64" s="19">
        <v>9.9999350000000001E-2</v>
      </c>
      <c r="V64" s="36">
        <v>0.20001172043681745</v>
      </c>
    </row>
    <row r="65" spans="1:22" x14ac:dyDescent="0.45">
      <c r="A65" s="21">
        <v>1871</v>
      </c>
      <c r="B65" s="20">
        <v>7.1230000000000002E-2</v>
      </c>
      <c r="C65" s="20">
        <v>9.4969999999999999E-2</v>
      </c>
      <c r="D65" s="20">
        <v>0.14244999999999999</v>
      </c>
      <c r="E65" s="22">
        <v>0.28489999999999999</v>
      </c>
      <c r="F65" s="19" t="s">
        <v>85</v>
      </c>
      <c r="G65" s="19" t="s">
        <v>91</v>
      </c>
      <c r="H65" s="19" t="s">
        <v>81</v>
      </c>
      <c r="I65" s="34"/>
      <c r="J65" s="34"/>
      <c r="L65" s="21">
        <v>7.1230000000000002E-2</v>
      </c>
      <c r="M65" s="19">
        <v>9.4969999999999999E-2</v>
      </c>
      <c r="N65" s="19">
        <v>0.14244999999999999</v>
      </c>
      <c r="O65" s="36">
        <v>0.28489999999999999</v>
      </c>
      <c r="Q65" s="34"/>
      <c r="S65" s="21">
        <v>7.1230000000000002E-2</v>
      </c>
      <c r="T65" s="19">
        <v>9.4969999999999999E-2</v>
      </c>
      <c r="U65" s="19">
        <v>0.14244999999999999</v>
      </c>
      <c r="V65" s="36">
        <v>0.28489999999999999</v>
      </c>
    </row>
    <row r="66" spans="1:22" x14ac:dyDescent="0.45">
      <c r="A66" s="21">
        <v>1872</v>
      </c>
      <c r="B66" s="20">
        <v>7.1430240000000006E-2</v>
      </c>
      <c r="C66" s="20">
        <v>9.5236609999999999E-2</v>
      </c>
      <c r="D66" s="20">
        <v>0.14285491</v>
      </c>
      <c r="E66" s="22">
        <v>0.28570981730598244</v>
      </c>
      <c r="F66" s="19" t="s">
        <v>85</v>
      </c>
      <c r="G66" s="19" t="s">
        <v>91</v>
      </c>
      <c r="H66" s="19" t="s">
        <v>82</v>
      </c>
      <c r="I66" s="34"/>
      <c r="J66" s="34"/>
      <c r="L66" s="21">
        <v>0.12820999999999999</v>
      </c>
      <c r="M66" s="19">
        <v>0.17094000000000001</v>
      </c>
      <c r="N66" s="19">
        <v>0.25641000000000003</v>
      </c>
      <c r="O66" s="36">
        <v>0.51282000000000005</v>
      </c>
      <c r="Q66" s="34"/>
      <c r="S66" s="21">
        <v>7.1430240000000006E-2</v>
      </c>
      <c r="T66" s="19">
        <v>9.5236609999999999E-2</v>
      </c>
      <c r="U66" s="19">
        <v>0.14285491</v>
      </c>
      <c r="V66" s="36">
        <v>0.28570981730598244</v>
      </c>
    </row>
    <row r="67" spans="1:22" x14ac:dyDescent="0.45">
      <c r="A67" s="21">
        <v>1873</v>
      </c>
      <c r="B67" s="20">
        <v>8.6205500000000004E-2</v>
      </c>
      <c r="C67" s="20">
        <v>0.11494066</v>
      </c>
      <c r="D67" s="20">
        <v>0.1724222</v>
      </c>
      <c r="E67" s="22">
        <v>0.34483320716328653</v>
      </c>
      <c r="F67" s="19" t="s">
        <v>85</v>
      </c>
      <c r="G67" s="19" t="s">
        <v>91</v>
      </c>
      <c r="H67" s="19" t="s">
        <v>78</v>
      </c>
      <c r="I67" s="34"/>
      <c r="J67" s="34"/>
      <c r="L67" s="21">
        <v>7.6920000000000002E-2</v>
      </c>
      <c r="M67" s="19">
        <v>0.10256</v>
      </c>
      <c r="N67" s="19">
        <v>0.15384999999999999</v>
      </c>
      <c r="O67" s="36">
        <v>0.30769000000000002</v>
      </c>
      <c r="Q67" s="34"/>
      <c r="S67" s="21">
        <v>8.6205500000000004E-2</v>
      </c>
      <c r="T67" s="19">
        <v>0.11494066</v>
      </c>
      <c r="U67" s="19">
        <v>0.1724222</v>
      </c>
      <c r="V67" s="36">
        <v>0.34483320716328653</v>
      </c>
    </row>
    <row r="68" spans="1:22" x14ac:dyDescent="0.45">
      <c r="A68" s="21">
        <v>1878</v>
      </c>
      <c r="B68" s="20">
        <v>8.3330730000000006E-2</v>
      </c>
      <c r="C68" s="20">
        <v>0.11111198</v>
      </c>
      <c r="D68" s="20">
        <v>0.16667446999999999</v>
      </c>
      <c r="E68" s="22">
        <v>0.33333592011388458</v>
      </c>
      <c r="F68" s="19" t="s">
        <v>85</v>
      </c>
      <c r="G68" s="19" t="s">
        <v>92</v>
      </c>
      <c r="H68" s="19" t="s">
        <v>54</v>
      </c>
      <c r="I68" s="34"/>
      <c r="J68" s="34"/>
      <c r="L68" s="21">
        <v>6.4100000000000004E-2</v>
      </c>
      <c r="M68" s="19">
        <v>8.5470000000000004E-2</v>
      </c>
      <c r="N68" s="19">
        <v>0.12820999999999999</v>
      </c>
      <c r="O68" s="36">
        <v>0.25641000000000003</v>
      </c>
      <c r="Q68" s="34"/>
      <c r="S68" s="21">
        <v>8.3330730000000006E-2</v>
      </c>
      <c r="T68" s="19">
        <v>0.11111198</v>
      </c>
      <c r="U68" s="19">
        <v>0.16667446999999999</v>
      </c>
      <c r="V68" s="36">
        <v>0.33333592011388458</v>
      </c>
    </row>
    <row r="69" spans="1:22" x14ac:dyDescent="0.45">
      <c r="A69" s="21">
        <v>1879</v>
      </c>
      <c r="B69" s="20">
        <v>9.9998379999999998E-2</v>
      </c>
      <c r="C69" s="20">
        <v>0.13333117</v>
      </c>
      <c r="D69" s="20">
        <v>0.20000974999999999</v>
      </c>
      <c r="E69" s="22">
        <v>0.40000652030941236</v>
      </c>
      <c r="F69" s="19" t="s">
        <v>85</v>
      </c>
      <c r="G69" s="19" t="s">
        <v>92</v>
      </c>
      <c r="H69" s="19" t="s">
        <v>93</v>
      </c>
      <c r="I69" s="34"/>
      <c r="J69" s="34"/>
      <c r="L69" s="21">
        <v>7.6920000000000002E-2</v>
      </c>
      <c r="M69" s="19">
        <v>0.10256</v>
      </c>
      <c r="N69" s="19">
        <v>0.15384999999999999</v>
      </c>
      <c r="O69" s="36">
        <v>0.30769000000000002</v>
      </c>
      <c r="Q69" s="34"/>
      <c r="S69" s="21">
        <v>9.9998379999999998E-2</v>
      </c>
      <c r="T69" s="19">
        <v>0.13333117</v>
      </c>
      <c r="U69" s="19">
        <v>0.20000974999999999</v>
      </c>
      <c r="V69" s="36">
        <v>0.40000652030941236</v>
      </c>
    </row>
    <row r="70" spans="1:22" x14ac:dyDescent="0.45">
      <c r="A70" s="21">
        <v>1881</v>
      </c>
      <c r="B70" s="20">
        <v>7.1230000000000002E-2</v>
      </c>
      <c r="C70" s="20">
        <v>9.4969999999999999E-2</v>
      </c>
      <c r="D70" s="20">
        <v>0.14244999999999999</v>
      </c>
      <c r="E70" s="22">
        <v>0.28489999999999999</v>
      </c>
      <c r="F70" s="19" t="s">
        <v>94</v>
      </c>
      <c r="G70" s="19" t="s">
        <v>30</v>
      </c>
      <c r="H70" s="19" t="s">
        <v>30</v>
      </c>
      <c r="I70" s="34"/>
      <c r="J70" s="34"/>
      <c r="L70" s="21">
        <v>7.1230000000000002E-2</v>
      </c>
      <c r="M70" s="19">
        <v>9.4969999999999999E-2</v>
      </c>
      <c r="N70" s="19">
        <v>0.14244999999999999</v>
      </c>
      <c r="O70" s="36">
        <v>0.28489999999999999</v>
      </c>
      <c r="Q70" s="34"/>
      <c r="S70" s="21">
        <v>7.1230000000000002E-2</v>
      </c>
      <c r="T70" s="19">
        <v>9.4969999999999999E-2</v>
      </c>
      <c r="U70" s="19">
        <v>0.14244999999999999</v>
      </c>
      <c r="V70" s="36">
        <v>0.28489999999999999</v>
      </c>
    </row>
    <row r="71" spans="1:22" x14ac:dyDescent="0.45">
      <c r="A71" s="21">
        <v>1883</v>
      </c>
      <c r="B71" s="20">
        <v>0.10869626</v>
      </c>
      <c r="C71" s="20">
        <v>0.14492563999999999</v>
      </c>
      <c r="D71" s="20">
        <v>0.21739252000000001</v>
      </c>
      <c r="E71" s="22">
        <v>0.43478504000000001</v>
      </c>
      <c r="F71" s="19" t="s">
        <v>95</v>
      </c>
      <c r="G71" s="19" t="s">
        <v>96</v>
      </c>
      <c r="H71" s="19" t="s">
        <v>30</v>
      </c>
      <c r="I71" s="34"/>
      <c r="J71" s="34"/>
      <c r="L71" s="21">
        <v>0.13369</v>
      </c>
      <c r="M71" s="19">
        <v>0.17824999999999999</v>
      </c>
      <c r="N71" s="19">
        <v>0.26738000000000001</v>
      </c>
      <c r="O71" s="36">
        <v>0.53476000000000001</v>
      </c>
      <c r="Q71" s="34"/>
      <c r="S71" s="21">
        <v>0.10869626</v>
      </c>
      <c r="T71" s="19">
        <v>0.14492563999999999</v>
      </c>
      <c r="U71" s="19">
        <v>0.21739252000000001</v>
      </c>
      <c r="V71" s="36">
        <v>0.43478504000000001</v>
      </c>
    </row>
    <row r="72" spans="1:22" x14ac:dyDescent="0.45">
      <c r="A72" s="21">
        <v>1885</v>
      </c>
      <c r="B72" s="20">
        <v>0.11364</v>
      </c>
      <c r="C72" s="20">
        <v>0.15151999999999999</v>
      </c>
      <c r="D72" s="20">
        <v>0.22727</v>
      </c>
      <c r="E72" s="22">
        <v>0.45455000000000001</v>
      </c>
      <c r="F72" s="19" t="s">
        <v>95</v>
      </c>
      <c r="G72" s="19" t="s">
        <v>97</v>
      </c>
      <c r="H72" s="19" t="s">
        <v>30</v>
      </c>
      <c r="I72" s="34"/>
      <c r="J72" s="34"/>
      <c r="L72" s="21">
        <v>0.11364</v>
      </c>
      <c r="M72" s="19">
        <v>0.15151999999999999</v>
      </c>
      <c r="N72" s="19">
        <v>0.22727</v>
      </c>
      <c r="O72" s="36">
        <v>0.45455000000000001</v>
      </c>
      <c r="Q72" s="34"/>
      <c r="S72" s="21">
        <v>0.11364</v>
      </c>
      <c r="T72" s="19">
        <v>0.15151999999999999</v>
      </c>
      <c r="U72" s="19">
        <v>0.22727</v>
      </c>
      <c r="V72" s="36">
        <v>0.45455000000000001</v>
      </c>
    </row>
    <row r="73" spans="1:22" x14ac:dyDescent="0.45">
      <c r="A73" s="21">
        <v>1887</v>
      </c>
      <c r="B73" s="20">
        <v>0.12500363</v>
      </c>
      <c r="C73" s="20">
        <v>0.16666270999999999</v>
      </c>
      <c r="D73" s="20">
        <v>0.24999405999999999</v>
      </c>
      <c r="E73" s="22">
        <v>0.50000132003907072</v>
      </c>
      <c r="F73" s="19" t="s">
        <v>95</v>
      </c>
      <c r="G73" s="19" t="s">
        <v>98</v>
      </c>
      <c r="H73" s="19" t="s">
        <v>99</v>
      </c>
      <c r="I73" s="34"/>
      <c r="J73" s="34"/>
      <c r="L73" s="21">
        <v>9.4700000000000006E-2</v>
      </c>
      <c r="M73" s="19">
        <v>0.12626000000000001</v>
      </c>
      <c r="N73" s="19">
        <v>0.18939</v>
      </c>
      <c r="O73" s="36">
        <v>0.37879000000000002</v>
      </c>
      <c r="Q73" s="34"/>
      <c r="S73" s="21">
        <v>0.12500363</v>
      </c>
      <c r="T73" s="19">
        <v>0.16666270999999999</v>
      </c>
      <c r="U73" s="19">
        <v>0.24999405999999999</v>
      </c>
      <c r="V73" s="36">
        <v>0.50000132003907072</v>
      </c>
    </row>
    <row r="74" spans="1:22" x14ac:dyDescent="0.45">
      <c r="A74" s="21">
        <v>1889</v>
      </c>
      <c r="B74" s="20">
        <v>7.1429160000000005E-2</v>
      </c>
      <c r="C74" s="20">
        <v>9.5236260000000003E-2</v>
      </c>
      <c r="D74" s="20">
        <v>0.14285832000000001</v>
      </c>
      <c r="E74" s="22">
        <v>0.28571664000000002</v>
      </c>
      <c r="F74" s="19" t="s">
        <v>95</v>
      </c>
      <c r="G74" s="19" t="s">
        <v>100</v>
      </c>
      <c r="H74" s="19" t="s">
        <v>30</v>
      </c>
      <c r="I74" s="34"/>
      <c r="J74" s="34"/>
      <c r="L74" s="21">
        <v>9.0910000000000005E-2</v>
      </c>
      <c r="M74" s="19">
        <v>0.12121</v>
      </c>
      <c r="N74" s="19">
        <v>0.18182000000000001</v>
      </c>
      <c r="O74" s="36">
        <v>0.36364000000000002</v>
      </c>
      <c r="Q74" s="34"/>
      <c r="S74" s="21">
        <v>7.1429160000000005E-2</v>
      </c>
      <c r="T74" s="19">
        <v>9.5236260000000003E-2</v>
      </c>
      <c r="U74" s="19">
        <v>0.14285832000000001</v>
      </c>
      <c r="V74" s="36">
        <v>0.28571664000000002</v>
      </c>
    </row>
    <row r="75" spans="1:22" x14ac:dyDescent="0.45">
      <c r="A75" s="21">
        <v>1892</v>
      </c>
      <c r="B75" s="20">
        <v>0.15151999999999999</v>
      </c>
      <c r="C75" s="20">
        <v>0.20202000000000001</v>
      </c>
      <c r="D75" s="20">
        <v>0.30303000000000002</v>
      </c>
      <c r="E75" s="22">
        <v>0.60606000000000004</v>
      </c>
      <c r="F75" s="19" t="s">
        <v>95</v>
      </c>
      <c r="G75" s="19" t="s">
        <v>101</v>
      </c>
      <c r="H75" s="19" t="s">
        <v>102</v>
      </c>
      <c r="I75" s="34"/>
      <c r="J75" s="34"/>
      <c r="L75" s="21">
        <v>0.15151999999999999</v>
      </c>
      <c r="M75" s="19">
        <v>0.20202000000000001</v>
      </c>
      <c r="N75" s="19">
        <v>0.30303000000000002</v>
      </c>
      <c r="O75" s="36">
        <v>0.60606000000000004</v>
      </c>
      <c r="Q75" s="34"/>
      <c r="S75" s="21">
        <v>0.15151999999999999</v>
      </c>
      <c r="T75" s="19">
        <v>0.20202000000000001</v>
      </c>
      <c r="U75" s="19">
        <v>0.30303000000000002</v>
      </c>
      <c r="V75" s="36">
        <v>0.60606000000000004</v>
      </c>
    </row>
    <row r="76" spans="1:22" x14ac:dyDescent="0.45">
      <c r="A76" s="21">
        <v>1893</v>
      </c>
      <c r="B76" s="20">
        <v>0.11962</v>
      </c>
      <c r="C76" s="20">
        <v>0.15948999999999999</v>
      </c>
      <c r="D76" s="20">
        <v>0.23923</v>
      </c>
      <c r="E76" s="22">
        <v>0.47847000000000001</v>
      </c>
      <c r="F76" s="19" t="s">
        <v>95</v>
      </c>
      <c r="G76" s="19" t="s">
        <v>101</v>
      </c>
      <c r="H76" s="19" t="s">
        <v>103</v>
      </c>
      <c r="I76" s="34"/>
      <c r="J76" s="34"/>
      <c r="L76" s="21">
        <v>0.11962</v>
      </c>
      <c r="M76" s="19">
        <v>0.15948999999999999</v>
      </c>
      <c r="N76" s="19">
        <v>0.23923</v>
      </c>
      <c r="O76" s="36">
        <v>0.47847000000000001</v>
      </c>
      <c r="Q76" s="34"/>
      <c r="S76" s="21">
        <v>0.11962</v>
      </c>
      <c r="T76" s="19">
        <v>0.15948999999999999</v>
      </c>
      <c r="U76" s="19">
        <v>0.23923</v>
      </c>
      <c r="V76" s="36">
        <v>0.47847000000000001</v>
      </c>
    </row>
    <row r="77" spans="1:22" x14ac:dyDescent="0.45">
      <c r="A77" s="21">
        <v>1897</v>
      </c>
      <c r="B77" s="20">
        <v>0.16667409</v>
      </c>
      <c r="C77" s="20">
        <v>0.22221231999999999</v>
      </c>
      <c r="D77" s="20">
        <v>0.33332837999999998</v>
      </c>
      <c r="E77" s="22">
        <v>0.66665676054882383</v>
      </c>
      <c r="F77" s="19" t="s">
        <v>104</v>
      </c>
      <c r="G77" s="19" t="s">
        <v>105</v>
      </c>
      <c r="H77" s="19" t="s">
        <v>30</v>
      </c>
      <c r="I77" s="34"/>
      <c r="J77" s="34"/>
      <c r="L77" s="21">
        <v>8.4180000000000005E-2</v>
      </c>
      <c r="M77" s="19">
        <v>0.11223</v>
      </c>
      <c r="N77" s="19">
        <v>0.16835</v>
      </c>
      <c r="O77" s="36">
        <v>0.3367</v>
      </c>
      <c r="Q77" s="34"/>
      <c r="S77" s="21">
        <v>0.16667409</v>
      </c>
      <c r="T77" s="19">
        <v>0.22221231999999999</v>
      </c>
      <c r="U77" s="19">
        <v>0.33332837999999998</v>
      </c>
      <c r="V77" s="36">
        <v>0.66665676054882383</v>
      </c>
    </row>
    <row r="78" spans="1:22" x14ac:dyDescent="0.45">
      <c r="A78" s="21">
        <v>1900</v>
      </c>
      <c r="B78" s="20">
        <v>9.0910000000000005E-2</v>
      </c>
      <c r="C78" s="20">
        <v>0.12121</v>
      </c>
      <c r="D78" s="20">
        <v>0.18182000000000001</v>
      </c>
      <c r="E78" s="22">
        <v>0.36364000000000002</v>
      </c>
      <c r="F78" s="19" t="s">
        <v>104</v>
      </c>
      <c r="G78" s="19" t="s">
        <v>106</v>
      </c>
      <c r="H78" s="19" t="s">
        <v>30</v>
      </c>
      <c r="I78" s="34"/>
      <c r="J78" s="34"/>
      <c r="L78" s="21">
        <v>9.0910000000000005E-2</v>
      </c>
      <c r="M78" s="19">
        <v>0.12121</v>
      </c>
      <c r="N78" s="19">
        <v>0.18182000000000001</v>
      </c>
      <c r="O78" s="36">
        <v>0.36364000000000002</v>
      </c>
      <c r="Q78" s="34"/>
      <c r="S78" s="21">
        <v>9.0910000000000005E-2</v>
      </c>
      <c r="T78" s="19">
        <v>0.12121</v>
      </c>
      <c r="U78" s="19">
        <v>0.18182000000000001</v>
      </c>
      <c r="V78" s="36">
        <v>0.36364000000000002</v>
      </c>
    </row>
    <row r="79" spans="1:22" x14ac:dyDescent="0.45">
      <c r="A79" s="21">
        <v>1903</v>
      </c>
      <c r="B79" s="20">
        <v>0.16234000000000001</v>
      </c>
      <c r="C79" s="20">
        <v>0.21645</v>
      </c>
      <c r="D79" s="20">
        <v>0.32468000000000002</v>
      </c>
      <c r="E79" s="22">
        <v>0.64934999999999998</v>
      </c>
      <c r="F79" s="19" t="s">
        <v>104</v>
      </c>
      <c r="G79" s="19" t="s">
        <v>107</v>
      </c>
      <c r="H79" s="19" t="s">
        <v>30</v>
      </c>
      <c r="I79" s="34"/>
      <c r="J79" s="34"/>
      <c r="L79" s="21">
        <v>0.16234000000000001</v>
      </c>
      <c r="M79" s="19">
        <v>0.21645</v>
      </c>
      <c r="N79" s="19">
        <v>0.32468000000000002</v>
      </c>
      <c r="O79" s="36">
        <v>0.64934999999999998</v>
      </c>
      <c r="Q79" s="34"/>
      <c r="S79" s="21">
        <v>0.16234000000000001</v>
      </c>
      <c r="T79" s="19">
        <v>0.21645</v>
      </c>
      <c r="U79" s="19">
        <v>0.32468000000000002</v>
      </c>
      <c r="V79" s="36">
        <v>0.64934999999999998</v>
      </c>
    </row>
    <row r="80" spans="1:22" x14ac:dyDescent="0.45">
      <c r="A80" s="21">
        <v>1905</v>
      </c>
      <c r="B80" s="20">
        <v>0.16666887</v>
      </c>
      <c r="C80" s="20">
        <v>0.22221782000000001</v>
      </c>
      <c r="D80" s="20">
        <v>0.33333773</v>
      </c>
      <c r="E80" s="22">
        <v>0.66665348041314687</v>
      </c>
      <c r="F80" s="19" t="s">
        <v>104</v>
      </c>
      <c r="G80" s="19" t="s">
        <v>108</v>
      </c>
      <c r="H80" s="19" t="s">
        <v>30</v>
      </c>
      <c r="I80" s="34"/>
      <c r="J80" s="34"/>
      <c r="L80" s="21">
        <v>7.5759999999999994E-2</v>
      </c>
      <c r="M80" s="19">
        <v>0.10101</v>
      </c>
      <c r="N80" s="19">
        <v>0.15151999999999999</v>
      </c>
      <c r="O80" s="36">
        <v>0.30303000000000002</v>
      </c>
      <c r="Q80" s="34"/>
      <c r="S80" s="21">
        <v>0.16666887</v>
      </c>
      <c r="T80" s="19">
        <v>0.22221782000000001</v>
      </c>
      <c r="U80" s="19">
        <v>0.33333773</v>
      </c>
      <c r="V80" s="36">
        <v>0.66665348041314687</v>
      </c>
    </row>
    <row r="81" spans="1:22" x14ac:dyDescent="0.45">
      <c r="A81" s="21">
        <v>1907</v>
      </c>
      <c r="B81" s="20">
        <v>9.9998420000000005E-2</v>
      </c>
      <c r="C81" s="20">
        <v>0.13333386</v>
      </c>
      <c r="D81" s="20">
        <v>0.20000475000000001</v>
      </c>
      <c r="E81" s="22">
        <v>0.40000160003960084</v>
      </c>
      <c r="F81" s="19" t="s">
        <v>104</v>
      </c>
      <c r="G81" s="19" t="s">
        <v>109</v>
      </c>
      <c r="H81" s="19" t="s">
        <v>30</v>
      </c>
      <c r="I81" s="34"/>
      <c r="J81" s="34"/>
      <c r="L81" s="21">
        <v>0.12626000000000001</v>
      </c>
      <c r="M81" s="19">
        <v>0.16835</v>
      </c>
      <c r="N81" s="19">
        <v>0.25252999999999998</v>
      </c>
      <c r="O81" s="36">
        <v>0.50505</v>
      </c>
      <c r="Q81" s="34"/>
      <c r="S81" s="21">
        <v>9.9998420000000005E-2</v>
      </c>
      <c r="T81" s="19">
        <v>0.13333386</v>
      </c>
      <c r="U81" s="19">
        <v>0.20000475000000001</v>
      </c>
      <c r="V81" s="36">
        <v>0.40000160003960084</v>
      </c>
    </row>
    <row r="82" spans="1:22" x14ac:dyDescent="0.45">
      <c r="A82" s="21">
        <v>1909</v>
      </c>
      <c r="B82" s="20">
        <v>9.8809999999999995E-2</v>
      </c>
      <c r="C82" s="20">
        <v>0.13175000000000001</v>
      </c>
      <c r="D82" s="20">
        <v>0.19763</v>
      </c>
      <c r="E82" s="22">
        <v>0.39526</v>
      </c>
      <c r="F82" s="19" t="s">
        <v>104</v>
      </c>
      <c r="G82" s="19" t="s">
        <v>110</v>
      </c>
      <c r="H82" s="19" t="s">
        <v>30</v>
      </c>
      <c r="I82" s="34"/>
      <c r="J82" s="34"/>
      <c r="L82" s="21">
        <v>9.8809999999999995E-2</v>
      </c>
      <c r="M82" s="19">
        <v>0.13175000000000001</v>
      </c>
      <c r="N82" s="19">
        <v>0.19763</v>
      </c>
      <c r="O82" s="36">
        <v>0.39526</v>
      </c>
      <c r="Q82" s="34"/>
      <c r="S82" s="21">
        <v>9.8809999999999995E-2</v>
      </c>
      <c r="T82" s="19">
        <v>0.13175000000000001</v>
      </c>
      <c r="U82" s="19">
        <v>0.19763</v>
      </c>
      <c r="V82" s="36">
        <v>0.39526</v>
      </c>
    </row>
    <row r="83" spans="1:22" x14ac:dyDescent="0.45">
      <c r="A83" s="21">
        <v>1920</v>
      </c>
      <c r="B83" s="20">
        <v>0.32051000000000002</v>
      </c>
      <c r="C83" s="20">
        <v>0.42735000000000001</v>
      </c>
      <c r="D83" s="20">
        <v>0.64102999999999999</v>
      </c>
      <c r="E83" s="22">
        <v>1</v>
      </c>
      <c r="F83" s="19" t="s">
        <v>111</v>
      </c>
      <c r="G83" s="19" t="s">
        <v>112</v>
      </c>
      <c r="H83" s="19" t="s">
        <v>54</v>
      </c>
      <c r="I83" s="34"/>
      <c r="J83" s="34"/>
      <c r="L83" s="21">
        <v>0.32051000000000002</v>
      </c>
      <c r="M83" s="19">
        <v>0.42735000000000001</v>
      </c>
      <c r="N83" s="19">
        <v>0.64102999999999999</v>
      </c>
      <c r="O83" s="36">
        <v>1</v>
      </c>
      <c r="Q83" s="34"/>
      <c r="S83" s="21">
        <v>0.32051000000000002</v>
      </c>
      <c r="T83" s="19">
        <v>0.42735000000000001</v>
      </c>
      <c r="U83" s="19">
        <v>0.64102999999999999</v>
      </c>
      <c r="V83" s="36">
        <v>1</v>
      </c>
    </row>
    <row r="84" spans="1:22" x14ac:dyDescent="0.45">
      <c r="A84" s="21">
        <v>1922</v>
      </c>
      <c r="B84" s="20">
        <v>0.12820999999999999</v>
      </c>
      <c r="C84" s="20">
        <v>0.17094000000000001</v>
      </c>
      <c r="D84" s="20">
        <v>0.25641000000000003</v>
      </c>
      <c r="E84" s="22">
        <v>0.51282000000000005</v>
      </c>
      <c r="F84" s="19" t="s">
        <v>113</v>
      </c>
      <c r="G84" s="19" t="s">
        <v>114</v>
      </c>
      <c r="H84" s="19" t="s">
        <v>30</v>
      </c>
      <c r="I84" s="34"/>
      <c r="J84" s="34"/>
      <c r="L84" s="21">
        <v>0.12820999999999999</v>
      </c>
      <c r="M84" s="19">
        <v>0.17094000000000001</v>
      </c>
      <c r="N84" s="19">
        <v>0.25641000000000003</v>
      </c>
      <c r="O84" s="36">
        <v>0.51282000000000005</v>
      </c>
      <c r="Q84" s="34"/>
      <c r="S84" s="21">
        <v>0.12820999999999999</v>
      </c>
      <c r="T84" s="19">
        <v>0.17094000000000001</v>
      </c>
      <c r="U84" s="19">
        <v>0.25641000000000003</v>
      </c>
      <c r="V84" s="36">
        <v>0.51282000000000005</v>
      </c>
    </row>
    <row r="85" spans="1:22" x14ac:dyDescent="0.45">
      <c r="A85" s="21">
        <v>1924</v>
      </c>
      <c r="B85" s="20">
        <v>0.10684</v>
      </c>
      <c r="C85" s="20">
        <v>0.14244999999999999</v>
      </c>
      <c r="D85" s="20">
        <v>0.21368000000000001</v>
      </c>
      <c r="E85" s="22">
        <v>0.42735000000000001</v>
      </c>
      <c r="F85" s="19" t="s">
        <v>113</v>
      </c>
      <c r="G85" s="19" t="s">
        <v>115</v>
      </c>
      <c r="H85" s="19" t="s">
        <v>30</v>
      </c>
      <c r="I85" s="34"/>
      <c r="J85" s="34"/>
      <c r="L85" s="21">
        <v>0.10684</v>
      </c>
      <c r="M85" s="19">
        <v>0.14244999999999999</v>
      </c>
      <c r="N85" s="19">
        <v>0.21368000000000001</v>
      </c>
      <c r="O85" s="36">
        <v>0.42735000000000001</v>
      </c>
      <c r="Q85" s="34"/>
      <c r="S85" s="21">
        <v>0.10684</v>
      </c>
      <c r="T85" s="19">
        <v>0.14244999999999999</v>
      </c>
      <c r="U85" s="19">
        <v>0.21368000000000001</v>
      </c>
      <c r="V85" s="36">
        <v>0.42735000000000001</v>
      </c>
    </row>
    <row r="86" spans="1:22" x14ac:dyDescent="0.45">
      <c r="A86" s="21">
        <v>1928</v>
      </c>
      <c r="B86" s="20">
        <v>0.12820999999999999</v>
      </c>
      <c r="C86" s="20">
        <v>0.17094000000000001</v>
      </c>
      <c r="D86" s="20">
        <v>0.25641000000000003</v>
      </c>
      <c r="E86" s="22">
        <v>0.51282000000000005</v>
      </c>
      <c r="F86" s="19" t="s">
        <v>113</v>
      </c>
      <c r="G86" s="19" t="s">
        <v>116</v>
      </c>
      <c r="H86" s="19" t="s">
        <v>30</v>
      </c>
      <c r="I86" s="34"/>
      <c r="J86" s="34"/>
      <c r="L86" s="21">
        <v>0.12820999999999999</v>
      </c>
      <c r="M86" s="19">
        <v>0.17094000000000001</v>
      </c>
      <c r="N86" s="19">
        <v>0.25641000000000003</v>
      </c>
      <c r="O86" s="36">
        <v>0.51282000000000005</v>
      </c>
      <c r="Q86" s="34"/>
      <c r="S86" s="21">
        <v>0.12820999999999999</v>
      </c>
      <c r="T86" s="19">
        <v>0.17094000000000001</v>
      </c>
      <c r="U86" s="19">
        <v>0.25641000000000003</v>
      </c>
      <c r="V86" s="36">
        <v>0.51282000000000005</v>
      </c>
    </row>
    <row r="87" spans="1:22" x14ac:dyDescent="0.45">
      <c r="A87" s="21">
        <v>1933</v>
      </c>
      <c r="B87" s="20">
        <v>9.6149999999999999E-2</v>
      </c>
      <c r="C87" s="20">
        <v>0.12820999999999999</v>
      </c>
      <c r="D87" s="20">
        <v>0.19231000000000001</v>
      </c>
      <c r="E87" s="22">
        <v>0.38462000000000002</v>
      </c>
      <c r="F87" s="19" t="s">
        <v>117</v>
      </c>
      <c r="G87" s="19" t="s">
        <v>118</v>
      </c>
      <c r="H87" s="19" t="s">
        <v>119</v>
      </c>
      <c r="I87" s="34"/>
      <c r="J87" s="34"/>
      <c r="L87" s="21">
        <v>9.6149999999999999E-2</v>
      </c>
      <c r="M87" s="19">
        <v>0.12820999999999999</v>
      </c>
      <c r="N87" s="19">
        <v>0.19231000000000001</v>
      </c>
      <c r="O87" s="36">
        <v>0.38462000000000002</v>
      </c>
      <c r="Q87" s="34"/>
      <c r="S87" s="21">
        <v>9.6149999999999999E-2</v>
      </c>
      <c r="T87" s="19">
        <v>0.12820999999999999</v>
      </c>
      <c r="U87" s="19">
        <v>0.19231000000000001</v>
      </c>
      <c r="V87" s="36">
        <v>0.38462000000000002</v>
      </c>
    </row>
    <row r="88" spans="1:22" x14ac:dyDescent="0.45">
      <c r="A88" s="21">
        <v>1934</v>
      </c>
      <c r="B88" s="20">
        <v>7.8122559999999994E-2</v>
      </c>
      <c r="C88" s="20">
        <v>0.10416748000000001</v>
      </c>
      <c r="D88" s="20">
        <v>0.15625731000000001</v>
      </c>
      <c r="E88" s="22">
        <v>0.31250242760686431</v>
      </c>
      <c r="F88" s="19" t="s">
        <v>117</v>
      </c>
      <c r="G88" s="19" t="s">
        <v>118</v>
      </c>
      <c r="H88" s="19" t="s">
        <v>120</v>
      </c>
      <c r="I88" s="34"/>
      <c r="J88" s="34"/>
      <c r="L88" s="21">
        <v>6.4100000000000004E-2</v>
      </c>
      <c r="M88" s="19">
        <v>8.5470000000000004E-2</v>
      </c>
      <c r="N88" s="19">
        <v>0.12820999999999999</v>
      </c>
      <c r="O88" s="36">
        <v>0.25641000000000003</v>
      </c>
      <c r="Q88" s="34"/>
      <c r="S88" s="21">
        <v>7.8122559999999994E-2</v>
      </c>
      <c r="T88" s="19">
        <v>0.10416748000000001</v>
      </c>
      <c r="U88" s="19">
        <v>0.15625731000000001</v>
      </c>
      <c r="V88" s="36">
        <v>0.31250242760686431</v>
      </c>
    </row>
    <row r="89" spans="1:22" x14ac:dyDescent="0.45">
      <c r="A89" s="21">
        <v>1935</v>
      </c>
      <c r="B89" s="20">
        <v>8.3337880000000003E-2</v>
      </c>
      <c r="C89" s="20">
        <v>0.11110707</v>
      </c>
      <c r="D89" s="20">
        <v>0.16666059999999999</v>
      </c>
      <c r="E89" s="22">
        <v>0.33332118774158331</v>
      </c>
      <c r="F89" s="19" t="s">
        <v>117</v>
      </c>
      <c r="G89" s="19" t="s">
        <v>118</v>
      </c>
      <c r="H89" s="19" t="s">
        <v>121</v>
      </c>
      <c r="I89" s="34"/>
      <c r="J89" s="34"/>
      <c r="L89" s="21">
        <v>5.4949999999999999E-2</v>
      </c>
      <c r="M89" s="19">
        <v>7.3260000000000006E-2</v>
      </c>
      <c r="N89" s="19">
        <v>0.10989</v>
      </c>
      <c r="O89" s="36">
        <v>0.21978</v>
      </c>
      <c r="Q89" s="34"/>
      <c r="S89" s="21">
        <v>8.3337880000000003E-2</v>
      </c>
      <c r="T89" s="19">
        <v>0.11110707</v>
      </c>
      <c r="U89" s="19">
        <v>0.16666059999999999</v>
      </c>
      <c r="V89" s="36">
        <v>0.33332118774158331</v>
      </c>
    </row>
    <row r="90" spans="1:22" x14ac:dyDescent="0.45">
      <c r="A90" s="21">
        <v>1938</v>
      </c>
      <c r="B90" s="20">
        <v>9.6149999999999999E-2</v>
      </c>
      <c r="C90" s="20">
        <v>0.12820999999999999</v>
      </c>
      <c r="D90" s="20">
        <v>0.19231000000000001</v>
      </c>
      <c r="E90" s="22">
        <v>0.38462000000000002</v>
      </c>
      <c r="F90" s="19" t="s">
        <v>117</v>
      </c>
      <c r="G90" s="19" t="s">
        <v>122</v>
      </c>
      <c r="H90" s="19" t="s">
        <v>119</v>
      </c>
      <c r="I90" s="34"/>
      <c r="J90" s="34"/>
      <c r="L90" s="21">
        <v>9.6149999999999999E-2</v>
      </c>
      <c r="M90" s="19">
        <v>0.12820999999999999</v>
      </c>
      <c r="N90" s="19">
        <v>0.19231000000000001</v>
      </c>
      <c r="O90" s="36">
        <v>0.38462000000000002</v>
      </c>
      <c r="Q90" s="34"/>
      <c r="S90" s="21">
        <v>9.6149999999999999E-2</v>
      </c>
      <c r="T90" s="19">
        <v>0.12820999999999999</v>
      </c>
      <c r="U90" s="19">
        <v>0.19231000000000001</v>
      </c>
      <c r="V90" s="36">
        <v>0.38462000000000002</v>
      </c>
    </row>
    <row r="91" spans="1:22" x14ac:dyDescent="0.45">
      <c r="A91" s="21">
        <v>1939</v>
      </c>
      <c r="B91" s="20">
        <v>6.4100000000000004E-2</v>
      </c>
      <c r="C91" s="20">
        <v>8.5470000000000004E-2</v>
      </c>
      <c r="D91" s="20">
        <v>0.12820999999999999</v>
      </c>
      <c r="E91" s="22">
        <v>0.25641000000000003</v>
      </c>
      <c r="F91" s="19" t="s">
        <v>117</v>
      </c>
      <c r="G91" s="19" t="s">
        <v>122</v>
      </c>
      <c r="H91" s="19" t="s">
        <v>120</v>
      </c>
      <c r="I91" s="34"/>
      <c r="J91" s="34"/>
      <c r="L91" s="21">
        <v>6.4100000000000004E-2</v>
      </c>
      <c r="M91" s="19">
        <v>8.5470000000000004E-2</v>
      </c>
      <c r="N91" s="19">
        <v>0.12820999999999999</v>
      </c>
      <c r="O91" s="36">
        <v>0.25641000000000003</v>
      </c>
      <c r="Q91" s="34"/>
      <c r="S91" s="21">
        <v>6.4100000000000004E-2</v>
      </c>
      <c r="T91" s="19">
        <v>8.5470000000000004E-2</v>
      </c>
      <c r="U91" s="19">
        <v>0.12820999999999999</v>
      </c>
      <c r="V91" s="36">
        <v>0.25641000000000003</v>
      </c>
    </row>
    <row r="92" spans="1:22" x14ac:dyDescent="0.45">
      <c r="A92" s="21">
        <v>1940</v>
      </c>
      <c r="B92" s="20">
        <v>5.4949999999999999E-2</v>
      </c>
      <c r="C92" s="20">
        <v>7.3260000000000006E-2</v>
      </c>
      <c r="D92" s="20">
        <v>0.10989</v>
      </c>
      <c r="E92" s="22">
        <v>0.21978</v>
      </c>
      <c r="F92" s="19" t="s">
        <v>117</v>
      </c>
      <c r="G92" s="19" t="s">
        <v>122</v>
      </c>
      <c r="H92" s="19" t="s">
        <v>123</v>
      </c>
      <c r="I92" s="34"/>
      <c r="J92" s="34"/>
      <c r="L92" s="21">
        <v>5.4949999999999999E-2</v>
      </c>
      <c r="M92" s="19">
        <v>7.3260000000000006E-2</v>
      </c>
      <c r="N92" s="19">
        <v>0.10989</v>
      </c>
      <c r="O92" s="36">
        <v>0.21978</v>
      </c>
      <c r="Q92" s="34"/>
      <c r="S92" s="21">
        <v>5.4949999999999999E-2</v>
      </c>
      <c r="T92" s="19">
        <v>7.3260000000000006E-2</v>
      </c>
      <c r="U92" s="19">
        <v>0.10989</v>
      </c>
      <c r="V92" s="36">
        <v>0.21978</v>
      </c>
    </row>
    <row r="93" spans="1:22" x14ac:dyDescent="0.45">
      <c r="A93" s="21">
        <v>1944</v>
      </c>
      <c r="B93" s="20">
        <v>7.6920000000000002E-2</v>
      </c>
      <c r="C93" s="20">
        <v>0.10256</v>
      </c>
      <c r="D93" s="20">
        <v>0.15384999999999999</v>
      </c>
      <c r="E93" s="22">
        <v>0.30769000000000002</v>
      </c>
      <c r="F93" s="19" t="s">
        <v>117</v>
      </c>
      <c r="G93" s="19" t="s">
        <v>124</v>
      </c>
      <c r="H93" s="19" t="s">
        <v>30</v>
      </c>
      <c r="I93" s="34"/>
      <c r="J93" s="34"/>
      <c r="L93" s="21">
        <v>7.6920000000000002E-2</v>
      </c>
      <c r="M93" s="19">
        <v>0.10256</v>
      </c>
      <c r="N93" s="19">
        <v>0.15384999999999999</v>
      </c>
      <c r="O93" s="36">
        <v>0.30769000000000002</v>
      </c>
      <c r="Q93" s="34"/>
      <c r="S93" s="21">
        <v>7.6920000000000002E-2</v>
      </c>
      <c r="T93" s="19">
        <v>0.10256</v>
      </c>
      <c r="U93" s="19">
        <v>0.15384999999999999</v>
      </c>
      <c r="V93" s="36">
        <v>0.30769000000000002</v>
      </c>
    </row>
    <row r="94" spans="1:22" x14ac:dyDescent="0.45">
      <c r="A94" s="21">
        <v>1947</v>
      </c>
      <c r="B94" s="20">
        <v>7.1432250000000003E-2</v>
      </c>
      <c r="C94" s="20">
        <v>9.5234830000000006E-2</v>
      </c>
      <c r="D94" s="20">
        <v>0.14285223999999999</v>
      </c>
      <c r="E94" s="22">
        <v>0.28570448653054226</v>
      </c>
      <c r="F94" s="19" t="s">
        <v>117</v>
      </c>
      <c r="G94" s="19" t="s">
        <v>125</v>
      </c>
      <c r="H94" s="19" t="s">
        <v>30</v>
      </c>
      <c r="I94" s="34"/>
      <c r="J94" s="34"/>
      <c r="L94" s="21">
        <v>5.8279999999999998E-2</v>
      </c>
      <c r="M94" s="19">
        <v>7.7700000000000005E-2</v>
      </c>
      <c r="N94" s="19">
        <v>0.11655</v>
      </c>
      <c r="O94" s="36">
        <v>0.2331</v>
      </c>
      <c r="Q94" s="34"/>
      <c r="S94" s="21">
        <v>7.1432250000000003E-2</v>
      </c>
      <c r="T94" s="19">
        <v>9.5234830000000006E-2</v>
      </c>
      <c r="U94" s="19">
        <v>0.14285223999999999</v>
      </c>
      <c r="V94" s="36">
        <v>0.28570448653054226</v>
      </c>
    </row>
    <row r="95" spans="1:22" x14ac:dyDescent="0.45">
      <c r="A95" s="21">
        <v>1949</v>
      </c>
      <c r="B95" s="20">
        <v>4.1668030000000002E-2</v>
      </c>
      <c r="C95" s="20">
        <v>5.5554340000000001E-2</v>
      </c>
      <c r="D95" s="20">
        <v>8.3331509999999998E-2</v>
      </c>
      <c r="E95" s="22">
        <v>0.16666302018999785</v>
      </c>
      <c r="F95" s="19" t="s">
        <v>117</v>
      </c>
      <c r="G95" s="19" t="s">
        <v>126</v>
      </c>
      <c r="H95" s="19" t="s">
        <v>127</v>
      </c>
      <c r="I95" s="34"/>
      <c r="J95" s="34"/>
      <c r="L95" s="21">
        <v>9.1579999999999995E-2</v>
      </c>
      <c r="M95" s="19">
        <v>0.1221</v>
      </c>
      <c r="N95" s="19">
        <v>0.18315000000000001</v>
      </c>
      <c r="O95" s="36">
        <v>0.36630000000000001</v>
      </c>
      <c r="Q95" s="34"/>
      <c r="S95" s="21">
        <v>4.1668030000000002E-2</v>
      </c>
      <c r="T95" s="19">
        <v>5.5554340000000001E-2</v>
      </c>
      <c r="U95" s="19">
        <v>8.3331509999999998E-2</v>
      </c>
      <c r="V95" s="36">
        <v>0.16666302018999785</v>
      </c>
    </row>
    <row r="96" spans="1:22" x14ac:dyDescent="0.45">
      <c r="A96" s="21">
        <v>1950</v>
      </c>
      <c r="B96" s="20">
        <v>9.6149999999999999E-2</v>
      </c>
      <c r="C96" s="20">
        <v>0.12820999999999999</v>
      </c>
      <c r="D96" s="20">
        <v>0.19231000000000001</v>
      </c>
      <c r="E96" s="22">
        <v>0.38462000000000002</v>
      </c>
      <c r="F96" s="19" t="s">
        <v>117</v>
      </c>
      <c r="G96" s="19" t="s">
        <v>126</v>
      </c>
      <c r="H96" s="19" t="s">
        <v>128</v>
      </c>
      <c r="I96" s="34"/>
      <c r="J96" s="34"/>
      <c r="L96" s="21">
        <v>9.6149999999999999E-2</v>
      </c>
      <c r="M96" s="19">
        <v>0.12820999999999999</v>
      </c>
      <c r="N96" s="19">
        <v>0.19231000000000001</v>
      </c>
      <c r="O96" s="36">
        <v>0.38462000000000002</v>
      </c>
      <c r="Q96" s="34"/>
      <c r="S96" s="21">
        <v>9.6149999999999999E-2</v>
      </c>
      <c r="T96" s="19">
        <v>0.12820999999999999</v>
      </c>
      <c r="U96" s="19">
        <v>0.19231000000000001</v>
      </c>
      <c r="V96" s="36">
        <v>0.38462000000000002</v>
      </c>
    </row>
    <row r="97" spans="1:22" x14ac:dyDescent="0.45">
      <c r="A97" s="21">
        <v>1951</v>
      </c>
      <c r="B97" s="20">
        <v>9.1579999999999995E-2</v>
      </c>
      <c r="C97" s="20">
        <v>0.1221</v>
      </c>
      <c r="D97" s="20">
        <v>0.18315000000000001</v>
      </c>
      <c r="E97" s="22">
        <v>0.36630000000000001</v>
      </c>
      <c r="F97" s="19" t="s">
        <v>117</v>
      </c>
      <c r="G97" s="19" t="s">
        <v>126</v>
      </c>
      <c r="H97" s="19" t="s">
        <v>129</v>
      </c>
      <c r="I97" s="34"/>
      <c r="J97" s="34"/>
      <c r="L97" s="21">
        <v>9.1579999999999995E-2</v>
      </c>
      <c r="M97" s="19">
        <v>0.1221</v>
      </c>
      <c r="N97" s="19">
        <v>0.18315000000000001</v>
      </c>
      <c r="O97" s="36">
        <v>0.36630000000000001</v>
      </c>
      <c r="Q97" s="34"/>
      <c r="S97" s="21">
        <v>9.1579999999999995E-2</v>
      </c>
      <c r="T97" s="19">
        <v>0.1221</v>
      </c>
      <c r="U97" s="19">
        <v>0.18315000000000001</v>
      </c>
      <c r="V97" s="36">
        <v>0.36630000000000001</v>
      </c>
    </row>
    <row r="98" spans="1:22" x14ac:dyDescent="0.45">
      <c r="A98" s="21">
        <v>1956</v>
      </c>
      <c r="B98" s="20">
        <v>8.7410000000000002E-2</v>
      </c>
      <c r="C98" s="20">
        <v>0.11655</v>
      </c>
      <c r="D98" s="20">
        <v>0.17483000000000001</v>
      </c>
      <c r="E98" s="22">
        <v>0.34965000000000002</v>
      </c>
      <c r="F98" s="19" t="s">
        <v>117</v>
      </c>
      <c r="G98" s="19" t="s">
        <v>130</v>
      </c>
      <c r="H98" s="19" t="s">
        <v>30</v>
      </c>
      <c r="I98" s="34"/>
      <c r="J98" s="34"/>
      <c r="L98" s="21">
        <v>8.7410000000000002E-2</v>
      </c>
      <c r="M98" s="19">
        <v>0.11655</v>
      </c>
      <c r="N98" s="19">
        <v>0.17483000000000001</v>
      </c>
      <c r="O98" s="36">
        <v>0.34965000000000002</v>
      </c>
      <c r="Q98" s="34"/>
      <c r="S98" s="21">
        <v>8.7410000000000002E-2</v>
      </c>
      <c r="T98" s="19">
        <v>0.11655</v>
      </c>
      <c r="U98" s="19">
        <v>0.17483000000000001</v>
      </c>
      <c r="V98" s="36">
        <v>0.34965000000000002</v>
      </c>
    </row>
    <row r="99" spans="1:22" x14ac:dyDescent="0.45">
      <c r="A99" s="21">
        <v>1959</v>
      </c>
      <c r="B99" s="20">
        <v>3.8460000000000001E-2</v>
      </c>
      <c r="C99" s="20">
        <v>6.4100000000000004E-2</v>
      </c>
      <c r="D99" s="20">
        <v>0.15384999999999999</v>
      </c>
      <c r="E99" s="22">
        <v>0.25641000000000003</v>
      </c>
      <c r="F99" s="19" t="s">
        <v>117</v>
      </c>
      <c r="G99" s="19" t="s">
        <v>131</v>
      </c>
      <c r="H99" s="19" t="s">
        <v>30</v>
      </c>
      <c r="I99" s="34"/>
      <c r="J99" s="34"/>
      <c r="L99" s="21">
        <v>3.8460000000000001E-2</v>
      </c>
      <c r="M99" s="19">
        <v>6.4100000000000004E-2</v>
      </c>
      <c r="N99" s="19">
        <v>0.15384999999999999</v>
      </c>
      <c r="O99" s="36">
        <v>0.25641000000000003</v>
      </c>
      <c r="Q99" s="34"/>
      <c r="S99" s="21">
        <v>3.8460000000000001E-2</v>
      </c>
      <c r="T99" s="19">
        <v>6.4100000000000004E-2</v>
      </c>
      <c r="U99" s="19">
        <v>0.15384999999999999</v>
      </c>
      <c r="V99" s="36">
        <v>0.25641000000000003</v>
      </c>
    </row>
    <row r="100" spans="1:22" x14ac:dyDescent="0.45">
      <c r="A100" s="21">
        <v>1962</v>
      </c>
      <c r="B100" s="20">
        <v>0.12820999999999999</v>
      </c>
      <c r="C100" s="20">
        <v>0.17094000000000001</v>
      </c>
      <c r="D100" s="20">
        <v>0.25641000000000003</v>
      </c>
      <c r="E100" s="22">
        <v>0.51282000000000005</v>
      </c>
      <c r="F100" s="19" t="s">
        <v>117</v>
      </c>
      <c r="G100" s="19" t="s">
        <v>132</v>
      </c>
      <c r="H100" s="19" t="s">
        <v>30</v>
      </c>
      <c r="I100" s="34"/>
      <c r="J100" s="34"/>
      <c r="L100" s="21">
        <v>0.12820999999999999</v>
      </c>
      <c r="M100" s="19">
        <v>0.17094000000000001</v>
      </c>
      <c r="N100" s="19">
        <v>0.25641000000000003</v>
      </c>
      <c r="O100" s="36">
        <v>0.51282000000000005</v>
      </c>
      <c r="Q100" s="34"/>
      <c r="S100" s="21">
        <v>0.12820999999999999</v>
      </c>
      <c r="T100" s="19">
        <v>0.17094000000000001</v>
      </c>
      <c r="U100" s="19">
        <v>0.25641000000000003</v>
      </c>
      <c r="V100" s="36">
        <v>0.51282000000000005</v>
      </c>
    </row>
    <row r="101" spans="1:22" x14ac:dyDescent="0.45">
      <c r="A101" s="21">
        <v>1965</v>
      </c>
      <c r="B101" s="20">
        <v>0.1</v>
      </c>
      <c r="C101" s="20">
        <v>0.13333</v>
      </c>
      <c r="D101" s="20">
        <v>0.2</v>
      </c>
      <c r="E101" s="22">
        <v>0.4</v>
      </c>
      <c r="F101" s="19" t="s">
        <v>133</v>
      </c>
      <c r="G101" s="19" t="s">
        <v>30</v>
      </c>
      <c r="H101" s="19" t="s">
        <v>119</v>
      </c>
      <c r="I101" s="34"/>
      <c r="J101" s="34"/>
      <c r="L101" s="21">
        <v>0.1</v>
      </c>
      <c r="M101" s="19">
        <v>0.13333</v>
      </c>
      <c r="N101" s="19">
        <v>0.2</v>
      </c>
      <c r="O101" s="36">
        <v>0.4</v>
      </c>
      <c r="Q101" s="34"/>
      <c r="S101" s="21">
        <v>0.1</v>
      </c>
      <c r="T101" s="19">
        <v>0.13333</v>
      </c>
      <c r="U101" s="19">
        <v>0.2</v>
      </c>
      <c r="V101" s="36">
        <v>0.4</v>
      </c>
    </row>
    <row r="102" spans="1:22" x14ac:dyDescent="0.45">
      <c r="A102" s="21">
        <v>1966</v>
      </c>
      <c r="B102" s="20">
        <v>0.14285999999999999</v>
      </c>
      <c r="C102" s="20">
        <v>0.19048000000000001</v>
      </c>
      <c r="D102" s="20">
        <v>0.28571000000000002</v>
      </c>
      <c r="E102" s="22">
        <v>0.57142999999999999</v>
      </c>
      <c r="F102" s="19" t="s">
        <v>133</v>
      </c>
      <c r="G102" s="19" t="s">
        <v>30</v>
      </c>
      <c r="H102" s="19" t="s">
        <v>134</v>
      </c>
      <c r="I102" s="34"/>
      <c r="J102" s="34"/>
      <c r="L102" s="21">
        <v>0.14285999999999999</v>
      </c>
      <c r="M102" s="19">
        <v>0.19048000000000001</v>
      </c>
      <c r="N102" s="19">
        <v>0.28571000000000002</v>
      </c>
      <c r="O102" s="36">
        <v>0.57142999999999999</v>
      </c>
      <c r="Q102" s="34"/>
      <c r="S102" s="21">
        <v>0.14285999999999999</v>
      </c>
      <c r="T102" s="19">
        <v>0.19048000000000001</v>
      </c>
      <c r="U102" s="19">
        <v>0.28571000000000002</v>
      </c>
      <c r="V102" s="36">
        <v>0.57142999999999999</v>
      </c>
    </row>
    <row r="103" spans="1:22" x14ac:dyDescent="0.45">
      <c r="A103" s="21">
        <v>1967</v>
      </c>
      <c r="B103" s="20">
        <v>0.2</v>
      </c>
      <c r="C103" s="20">
        <v>0.26667000000000002</v>
      </c>
      <c r="D103" s="20">
        <v>0.4</v>
      </c>
      <c r="E103" s="22">
        <v>0.8</v>
      </c>
      <c r="F103" s="19" t="s">
        <v>133</v>
      </c>
      <c r="G103" s="19" t="s">
        <v>30</v>
      </c>
      <c r="H103" s="19" t="s">
        <v>135</v>
      </c>
      <c r="I103" s="34"/>
      <c r="J103" s="34"/>
      <c r="L103" s="21">
        <v>0.2</v>
      </c>
      <c r="M103" s="19">
        <v>0.26667000000000002</v>
      </c>
      <c r="N103" s="19">
        <v>0.4</v>
      </c>
      <c r="O103" s="36">
        <v>0.8</v>
      </c>
      <c r="Q103" s="34"/>
      <c r="S103" s="21">
        <v>0.2</v>
      </c>
      <c r="T103" s="19">
        <v>0.26667000000000002</v>
      </c>
      <c r="U103" s="19">
        <v>0.4</v>
      </c>
      <c r="V103" s="36">
        <v>0.8</v>
      </c>
    </row>
    <row r="104" spans="1:22" x14ac:dyDescent="0.45">
      <c r="A104" s="21">
        <v>1968</v>
      </c>
      <c r="B104" s="20">
        <v>9.0910320000000003E-2</v>
      </c>
      <c r="C104" s="20">
        <v>0.15151371</v>
      </c>
      <c r="D104" s="20">
        <v>0.36363082000000002</v>
      </c>
      <c r="E104" s="22">
        <v>0.6060444067065317</v>
      </c>
      <c r="F104" s="19" t="s">
        <v>13</v>
      </c>
      <c r="G104" s="19" t="s">
        <v>16</v>
      </c>
      <c r="H104" s="19" t="s">
        <v>136</v>
      </c>
      <c r="I104" s="34"/>
      <c r="J104" s="34"/>
      <c r="L104" s="21">
        <v>8.6959999999999996E-2</v>
      </c>
      <c r="M104" s="19">
        <v>0.14493</v>
      </c>
      <c r="N104" s="19">
        <v>0.34782999999999997</v>
      </c>
      <c r="O104" s="36">
        <v>0.57970999999999995</v>
      </c>
      <c r="Q104" s="34"/>
      <c r="S104" s="21">
        <v>9.0910320000000003E-2</v>
      </c>
      <c r="T104" s="19">
        <v>0.15151371</v>
      </c>
      <c r="U104" s="19">
        <v>0.36363082000000002</v>
      </c>
      <c r="V104" s="36">
        <v>0.6060444067065317</v>
      </c>
    </row>
    <row r="105" spans="1:22" x14ac:dyDescent="0.45">
      <c r="A105" s="21">
        <v>1969</v>
      </c>
      <c r="B105" s="20">
        <v>0.1</v>
      </c>
      <c r="C105" s="20">
        <v>0.1</v>
      </c>
      <c r="D105" s="20">
        <v>0.1</v>
      </c>
      <c r="E105" s="22">
        <v>0.1</v>
      </c>
      <c r="F105" s="19" t="s">
        <v>13</v>
      </c>
      <c r="G105" s="19" t="s">
        <v>16</v>
      </c>
      <c r="H105" s="19" t="s">
        <v>137</v>
      </c>
      <c r="I105" s="34"/>
      <c r="J105" s="34"/>
      <c r="L105" s="21">
        <v>0.08</v>
      </c>
      <c r="M105" s="19">
        <v>0.08</v>
      </c>
      <c r="N105" s="19">
        <v>0.08</v>
      </c>
      <c r="O105" s="36">
        <v>0.08</v>
      </c>
      <c r="Q105" s="34"/>
      <c r="S105" s="21">
        <v>0.1</v>
      </c>
      <c r="T105" s="19">
        <v>0.1</v>
      </c>
      <c r="U105" s="19">
        <v>0.1</v>
      </c>
      <c r="V105" s="36">
        <v>0.1</v>
      </c>
    </row>
    <row r="106" spans="1:22" x14ac:dyDescent="0.45">
      <c r="A106" s="21">
        <v>1970</v>
      </c>
      <c r="B106" s="20">
        <v>6.2109999999999999E-2</v>
      </c>
      <c r="C106" s="20">
        <v>0.10352</v>
      </c>
      <c r="D106" s="20">
        <v>0.24845</v>
      </c>
      <c r="E106" s="22">
        <v>0.41408</v>
      </c>
      <c r="F106" s="19" t="s">
        <v>13</v>
      </c>
      <c r="G106" s="19" t="s">
        <v>16</v>
      </c>
      <c r="H106" s="19" t="s">
        <v>138</v>
      </c>
      <c r="I106" s="34"/>
      <c r="J106" s="34"/>
      <c r="L106" s="21">
        <v>6.2109999999999999E-2</v>
      </c>
      <c r="M106" s="19">
        <v>0.10352</v>
      </c>
      <c r="N106" s="19">
        <v>0.24845</v>
      </c>
      <c r="O106" s="36">
        <v>0.41408</v>
      </c>
      <c r="Q106" s="34"/>
      <c r="S106" s="21">
        <v>6.2109999999999999E-2</v>
      </c>
      <c r="T106" s="19">
        <v>0.10352</v>
      </c>
      <c r="U106" s="19">
        <v>0.24845</v>
      </c>
      <c r="V106" s="36">
        <v>0.41408</v>
      </c>
    </row>
    <row r="107" spans="1:22" x14ac:dyDescent="0.45">
      <c r="A107" s="21">
        <v>1971</v>
      </c>
      <c r="B107" s="20">
        <v>0.04</v>
      </c>
      <c r="C107" s="20">
        <v>0.04</v>
      </c>
      <c r="D107" s="20">
        <v>6.6669999999999993E-2</v>
      </c>
      <c r="E107" s="22">
        <v>0.2</v>
      </c>
      <c r="F107" s="19" t="s">
        <v>13</v>
      </c>
      <c r="G107" s="19" t="s">
        <v>16</v>
      </c>
      <c r="H107" s="19" t="s">
        <v>139</v>
      </c>
      <c r="I107" s="34"/>
      <c r="J107" s="34"/>
      <c r="L107" s="21">
        <v>0.04</v>
      </c>
      <c r="M107" s="19">
        <v>0.04</v>
      </c>
      <c r="N107" s="19">
        <v>6.6669999999999993E-2</v>
      </c>
      <c r="O107" s="36">
        <v>0.2</v>
      </c>
      <c r="Q107" s="34"/>
      <c r="S107" s="21">
        <v>0.04</v>
      </c>
      <c r="T107" s="19">
        <v>0.04</v>
      </c>
      <c r="U107" s="19">
        <v>6.6669999999999993E-2</v>
      </c>
      <c r="V107" s="36">
        <v>0.2</v>
      </c>
    </row>
    <row r="108" spans="1:22" x14ac:dyDescent="0.45">
      <c r="A108" s="21">
        <v>1972</v>
      </c>
      <c r="B108" s="20">
        <v>3.076978E-2</v>
      </c>
      <c r="C108" s="20">
        <v>5.1282969999999997E-2</v>
      </c>
      <c r="D108" s="20">
        <v>0.12306613</v>
      </c>
      <c r="E108" s="22">
        <v>0.20511886718208705</v>
      </c>
      <c r="F108" s="19" t="s">
        <v>13</v>
      </c>
      <c r="G108" s="19" t="s">
        <v>16</v>
      </c>
      <c r="H108" s="19" t="s">
        <v>140</v>
      </c>
      <c r="I108" s="34"/>
      <c r="J108" s="34"/>
      <c r="L108" s="21">
        <v>2.367E-2</v>
      </c>
      <c r="M108" s="19">
        <v>3.9449999999999999E-2</v>
      </c>
      <c r="N108" s="19">
        <v>9.4670000000000004E-2</v>
      </c>
      <c r="O108" s="36">
        <v>0.15779000000000001</v>
      </c>
      <c r="Q108" s="34"/>
      <c r="S108" s="21">
        <v>3.076978E-2</v>
      </c>
      <c r="T108" s="19">
        <v>5.1282969999999997E-2</v>
      </c>
      <c r="U108" s="19">
        <v>0.12306613</v>
      </c>
      <c r="V108" s="36">
        <v>0.20511886718208705</v>
      </c>
    </row>
    <row r="109" spans="1:22" x14ac:dyDescent="0.45">
      <c r="A109" s="21">
        <v>1973</v>
      </c>
      <c r="B109" s="20">
        <v>5.7142859999999997E-2</v>
      </c>
      <c r="C109" s="20">
        <v>9.5238100000000006E-2</v>
      </c>
      <c r="D109" s="20">
        <v>0.22857142999999999</v>
      </c>
      <c r="E109" s="22">
        <v>0.38095239999999997</v>
      </c>
      <c r="F109" s="19" t="s">
        <v>13</v>
      </c>
      <c r="G109" s="19" t="s">
        <v>16</v>
      </c>
      <c r="H109" s="19" t="s">
        <v>141</v>
      </c>
      <c r="I109" s="34"/>
      <c r="J109" s="34"/>
      <c r="L109" s="21">
        <v>3.6630000000000003E-2</v>
      </c>
      <c r="M109" s="19">
        <v>6.105E-2</v>
      </c>
      <c r="N109" s="19">
        <v>0.14652000000000001</v>
      </c>
      <c r="O109" s="36">
        <v>0.2442</v>
      </c>
      <c r="Q109" s="34"/>
      <c r="S109" s="21">
        <v>5.7142859999999997E-2</v>
      </c>
      <c r="T109" s="19">
        <v>9.5238100000000006E-2</v>
      </c>
      <c r="U109" s="19">
        <v>0.22857142999999999</v>
      </c>
      <c r="V109" s="36">
        <v>0.38095239999999997</v>
      </c>
    </row>
    <row r="110" spans="1:22" x14ac:dyDescent="0.45">
      <c r="A110" s="21">
        <v>1974</v>
      </c>
      <c r="B110" s="20">
        <v>6.6890000000000005E-2</v>
      </c>
      <c r="C110" s="20">
        <v>0.11148</v>
      </c>
      <c r="D110" s="20">
        <v>0.16722000000000001</v>
      </c>
      <c r="E110" s="22">
        <v>0.33445000000000003</v>
      </c>
      <c r="F110" s="19" t="s">
        <v>13</v>
      </c>
      <c r="G110" s="19" t="s">
        <v>16</v>
      </c>
      <c r="H110" s="19" t="s">
        <v>142</v>
      </c>
      <c r="I110" s="34"/>
      <c r="J110" s="34"/>
      <c r="L110" s="21">
        <v>6.6890000000000005E-2</v>
      </c>
      <c r="M110" s="19">
        <v>0.11148</v>
      </c>
      <c r="N110" s="19">
        <v>0.16722000000000001</v>
      </c>
      <c r="O110" s="36">
        <v>0.33445000000000003</v>
      </c>
      <c r="Q110" s="34"/>
      <c r="S110" s="21">
        <v>6.6890000000000005E-2</v>
      </c>
      <c r="T110" s="19">
        <v>0.11148</v>
      </c>
      <c r="U110" s="19">
        <v>0.16722000000000001</v>
      </c>
      <c r="V110" s="36">
        <v>0.33445000000000003</v>
      </c>
    </row>
    <row r="111" spans="1:22" x14ac:dyDescent="0.45">
      <c r="A111" s="21">
        <v>1975</v>
      </c>
      <c r="B111" s="20">
        <v>4.3959999999999999E-2</v>
      </c>
      <c r="C111" s="20">
        <v>7.3260000000000006E-2</v>
      </c>
      <c r="D111" s="20">
        <v>0.17582</v>
      </c>
      <c r="E111" s="22">
        <v>0.29304000000000002</v>
      </c>
      <c r="F111" s="19" t="s">
        <v>13</v>
      </c>
      <c r="G111" s="19" t="s">
        <v>16</v>
      </c>
      <c r="H111" s="19" t="s">
        <v>143</v>
      </c>
      <c r="I111" s="34"/>
      <c r="J111" s="34"/>
      <c r="L111" s="21">
        <v>4.3959999999999999E-2</v>
      </c>
      <c r="M111" s="19">
        <v>7.3260000000000006E-2</v>
      </c>
      <c r="N111" s="19">
        <v>0.17582</v>
      </c>
      <c r="O111" s="36">
        <v>0.29304000000000002</v>
      </c>
      <c r="Q111" s="34"/>
      <c r="S111" s="21">
        <v>4.3959999999999999E-2</v>
      </c>
      <c r="T111" s="19">
        <v>7.3260000000000006E-2</v>
      </c>
      <c r="U111" s="19">
        <v>0.17582</v>
      </c>
      <c r="V111" s="36">
        <v>0.29304000000000002</v>
      </c>
    </row>
    <row r="112" spans="1:22" x14ac:dyDescent="0.45">
      <c r="A112" s="21">
        <v>1976</v>
      </c>
      <c r="B112" s="20">
        <v>5.1281479999999997E-2</v>
      </c>
      <c r="C112" s="20">
        <v>8.5469139999999999E-2</v>
      </c>
      <c r="D112" s="20">
        <v>0.20513927000000001</v>
      </c>
      <c r="E112" s="22">
        <v>0.34188986705148205</v>
      </c>
      <c r="F112" s="19" t="s">
        <v>13</v>
      </c>
      <c r="G112" s="19" t="s">
        <v>16</v>
      </c>
      <c r="H112" s="19" t="s">
        <v>144</v>
      </c>
      <c r="I112" s="34"/>
      <c r="J112" s="34"/>
      <c r="L112" s="21">
        <v>3.8460000000000001E-2</v>
      </c>
      <c r="M112" s="19">
        <v>6.4100000000000004E-2</v>
      </c>
      <c r="N112" s="19">
        <v>0.15384999999999999</v>
      </c>
      <c r="O112" s="36">
        <v>0.25641000000000003</v>
      </c>
      <c r="Q112" s="34"/>
      <c r="S112" s="21">
        <v>5.1281479999999997E-2</v>
      </c>
      <c r="T112" s="19">
        <v>8.5469139999999999E-2</v>
      </c>
      <c r="U112" s="19">
        <v>0.20513927000000001</v>
      </c>
      <c r="V112" s="36">
        <v>0.34188986705148205</v>
      </c>
    </row>
    <row r="113" spans="1:22" x14ac:dyDescent="0.45">
      <c r="A113" s="21">
        <v>1977</v>
      </c>
      <c r="B113" s="20">
        <v>4.7617600000000003E-2</v>
      </c>
      <c r="C113" s="20">
        <v>7.9368859999999999E-2</v>
      </c>
      <c r="D113" s="20">
        <v>0.19047659</v>
      </c>
      <c r="E113" s="22">
        <v>0.31746304773790956</v>
      </c>
      <c r="F113" s="19" t="s">
        <v>13</v>
      </c>
      <c r="G113" s="19" t="s">
        <v>16</v>
      </c>
      <c r="H113" s="19" t="s">
        <v>145</v>
      </c>
      <c r="I113" s="34"/>
      <c r="J113" s="34"/>
      <c r="L113" s="21">
        <v>7.6920000000000002E-2</v>
      </c>
      <c r="M113" s="19">
        <v>0.12820999999999999</v>
      </c>
      <c r="N113" s="19">
        <v>0.30769000000000002</v>
      </c>
      <c r="O113" s="36">
        <v>0.51282000000000005</v>
      </c>
      <c r="Q113" s="34"/>
      <c r="S113" s="21">
        <v>4.7617600000000003E-2</v>
      </c>
      <c r="T113" s="19">
        <v>7.9368859999999999E-2</v>
      </c>
      <c r="U113" s="19">
        <v>0.19047659</v>
      </c>
      <c r="V113" s="36">
        <v>0.31746304773790956</v>
      </c>
    </row>
    <row r="114" spans="1:22" x14ac:dyDescent="0.45">
      <c r="A114" s="21">
        <v>1978</v>
      </c>
      <c r="B114" s="20">
        <v>6.0607830000000001E-2</v>
      </c>
      <c r="C114" s="20">
        <v>0.10100937</v>
      </c>
      <c r="D114" s="20">
        <v>0.24240924</v>
      </c>
      <c r="E114" s="22">
        <v>0.40401543455868977</v>
      </c>
      <c r="F114" s="19" t="s">
        <v>13</v>
      </c>
      <c r="G114" s="19" t="s">
        <v>16</v>
      </c>
      <c r="H114" s="19" t="s">
        <v>146</v>
      </c>
      <c r="I114" s="34"/>
      <c r="J114" s="34"/>
      <c r="L114" s="21">
        <v>5.4949999999999999E-2</v>
      </c>
      <c r="M114" s="19">
        <v>9.1579999999999995E-2</v>
      </c>
      <c r="N114" s="19">
        <v>0.21978</v>
      </c>
      <c r="O114" s="36">
        <v>0.36630000000000001</v>
      </c>
      <c r="Q114" s="34"/>
      <c r="S114" s="21">
        <v>6.0607830000000001E-2</v>
      </c>
      <c r="T114" s="19">
        <v>0.10100937</v>
      </c>
      <c r="U114" s="19">
        <v>0.24240924</v>
      </c>
      <c r="V114" s="36">
        <v>0.40401543455868977</v>
      </c>
    </row>
    <row r="115" spans="1:22" x14ac:dyDescent="0.45">
      <c r="A115" s="21">
        <v>1979</v>
      </c>
      <c r="B115" s="20">
        <v>7.1230000000000002E-2</v>
      </c>
      <c r="C115" s="20">
        <v>9.4969999999999999E-2</v>
      </c>
      <c r="D115" s="20">
        <v>0.14244999999999999</v>
      </c>
      <c r="E115" s="22">
        <v>0.28489999999999999</v>
      </c>
      <c r="F115" s="19" t="s">
        <v>28</v>
      </c>
      <c r="G115" s="19" t="s">
        <v>31</v>
      </c>
      <c r="H115" s="19" t="s">
        <v>147</v>
      </c>
      <c r="I115" s="34"/>
      <c r="J115" s="34"/>
      <c r="L115" s="21">
        <v>7.1230000000000002E-2</v>
      </c>
      <c r="M115" s="19">
        <v>9.4969999999999999E-2</v>
      </c>
      <c r="N115" s="19">
        <v>0.14244999999999999</v>
      </c>
      <c r="O115" s="36">
        <v>0.28489999999999999</v>
      </c>
      <c r="Q115" s="34"/>
      <c r="S115" s="21">
        <v>7.1230000000000002E-2</v>
      </c>
      <c r="T115" s="19">
        <v>9.4969999999999999E-2</v>
      </c>
      <c r="U115" s="19">
        <v>0.14244999999999999</v>
      </c>
      <c r="V115" s="36">
        <v>0.28489999999999999</v>
      </c>
    </row>
    <row r="116" spans="1:22" x14ac:dyDescent="0.45">
      <c r="A116" s="21">
        <v>1980</v>
      </c>
      <c r="B116" s="20">
        <v>0.12820999999999999</v>
      </c>
      <c r="C116" s="20">
        <v>0.17094000000000001</v>
      </c>
      <c r="D116" s="20">
        <v>0.25641000000000003</v>
      </c>
      <c r="E116" s="22">
        <v>0.51282000000000005</v>
      </c>
      <c r="F116" s="19" t="s">
        <v>28</v>
      </c>
      <c r="G116" s="19" t="s">
        <v>31</v>
      </c>
      <c r="H116" s="19" t="s">
        <v>148</v>
      </c>
      <c r="I116" s="34"/>
      <c r="J116" s="34"/>
      <c r="L116" s="21">
        <v>0.12820999999999999</v>
      </c>
      <c r="M116" s="19">
        <v>0.17094000000000001</v>
      </c>
      <c r="N116" s="19">
        <v>0.25641000000000003</v>
      </c>
      <c r="O116" s="36">
        <v>0.51282000000000005</v>
      </c>
      <c r="Q116" s="34"/>
      <c r="S116" s="21">
        <v>0.12820999999999999</v>
      </c>
      <c r="T116" s="19">
        <v>0.17094000000000001</v>
      </c>
      <c r="U116" s="19">
        <v>0.25641000000000003</v>
      </c>
      <c r="V116" s="36">
        <v>0.51282000000000005</v>
      </c>
    </row>
    <row r="117" spans="1:22" x14ac:dyDescent="0.45">
      <c r="A117" s="21">
        <v>1981</v>
      </c>
      <c r="B117" s="20">
        <v>3.8460000000000001E-2</v>
      </c>
      <c r="C117" s="20">
        <v>5.1279999999999999E-2</v>
      </c>
      <c r="D117" s="20">
        <v>7.6920000000000002E-2</v>
      </c>
      <c r="E117" s="22">
        <v>0.15384999999999999</v>
      </c>
      <c r="F117" s="19" t="s">
        <v>28</v>
      </c>
      <c r="G117" s="19" t="s">
        <v>31</v>
      </c>
      <c r="H117" s="19" t="s">
        <v>61</v>
      </c>
      <c r="I117" s="34"/>
      <c r="J117" s="34"/>
      <c r="L117" s="21">
        <v>3.8460000000000001E-2</v>
      </c>
      <c r="M117" s="19">
        <v>5.1279999999999999E-2</v>
      </c>
      <c r="N117" s="19">
        <v>7.6920000000000002E-2</v>
      </c>
      <c r="O117" s="36">
        <v>0.15384999999999999</v>
      </c>
      <c r="Q117" s="34"/>
      <c r="S117" s="21">
        <v>3.8460000000000001E-2</v>
      </c>
      <c r="T117" s="19">
        <v>5.1279999999999999E-2</v>
      </c>
      <c r="U117" s="19">
        <v>7.6920000000000002E-2</v>
      </c>
      <c r="V117" s="36">
        <v>0.15384999999999999</v>
      </c>
    </row>
    <row r="118" spans="1:22" x14ac:dyDescent="0.45">
      <c r="A118" s="21">
        <v>1982</v>
      </c>
      <c r="B118" s="20">
        <v>0.17483000000000001</v>
      </c>
      <c r="C118" s="20">
        <v>0.2331</v>
      </c>
      <c r="D118" s="20">
        <v>0.34965000000000002</v>
      </c>
      <c r="E118" s="22">
        <v>0.69930000000000003</v>
      </c>
      <c r="F118" s="19" t="s">
        <v>28</v>
      </c>
      <c r="G118" s="19" t="s">
        <v>31</v>
      </c>
      <c r="H118" s="19" t="s">
        <v>149</v>
      </c>
      <c r="I118" s="34"/>
      <c r="J118" s="34"/>
      <c r="L118" s="21">
        <v>0.17483000000000001</v>
      </c>
      <c r="M118" s="19">
        <v>0.2331</v>
      </c>
      <c r="N118" s="19">
        <v>0.34965000000000002</v>
      </c>
      <c r="O118" s="36">
        <v>0.69930000000000003</v>
      </c>
      <c r="Q118" s="34"/>
      <c r="S118" s="21">
        <v>0.17483000000000001</v>
      </c>
      <c r="T118" s="19">
        <v>0.2331</v>
      </c>
      <c r="U118" s="19">
        <v>0.34965000000000002</v>
      </c>
      <c r="V118" s="36">
        <v>0.69930000000000003</v>
      </c>
    </row>
    <row r="119" spans="1:22" x14ac:dyDescent="0.45">
      <c r="A119" s="21">
        <v>1983</v>
      </c>
      <c r="B119" s="20">
        <v>5.3330000000000002E-2</v>
      </c>
      <c r="C119" s="20">
        <v>8.8889999999999997E-2</v>
      </c>
      <c r="D119" s="20">
        <v>0.21332999999999999</v>
      </c>
      <c r="E119" s="22">
        <v>0.35555999999999999</v>
      </c>
      <c r="F119" s="19" t="s">
        <v>42</v>
      </c>
      <c r="G119" s="19" t="s">
        <v>43</v>
      </c>
      <c r="H119" s="19" t="s">
        <v>150</v>
      </c>
      <c r="I119" s="34"/>
      <c r="J119" s="34"/>
      <c r="L119" s="21">
        <v>5.3330000000000002E-2</v>
      </c>
      <c r="M119" s="19">
        <v>8.8889999999999997E-2</v>
      </c>
      <c r="N119" s="19">
        <v>0.21332999999999999</v>
      </c>
      <c r="O119" s="36">
        <v>0.35555999999999999</v>
      </c>
      <c r="Q119" s="34"/>
      <c r="S119" s="21">
        <v>5.3330000000000002E-2</v>
      </c>
      <c r="T119" s="19">
        <v>8.8889999999999997E-2</v>
      </c>
      <c r="U119" s="19">
        <v>0.21332999999999999</v>
      </c>
      <c r="V119" s="36">
        <v>0.35555999999999999</v>
      </c>
    </row>
    <row r="120" spans="1:22" x14ac:dyDescent="0.45">
      <c r="A120" s="21">
        <v>1984</v>
      </c>
      <c r="B120" s="20">
        <v>5.4053190000000001E-2</v>
      </c>
      <c r="C120" s="20">
        <v>9.0093160000000005E-2</v>
      </c>
      <c r="D120" s="20">
        <v>0.21621277</v>
      </c>
      <c r="E120" s="22">
        <v>0.36035910443250002</v>
      </c>
      <c r="F120" s="19" t="s">
        <v>42</v>
      </c>
      <c r="G120" s="19" t="s">
        <v>43</v>
      </c>
      <c r="H120" s="19" t="s">
        <v>151</v>
      </c>
      <c r="I120" s="34"/>
      <c r="J120" s="34"/>
      <c r="L120" s="21">
        <v>0.04</v>
      </c>
      <c r="M120" s="19">
        <v>6.6669999999999993E-2</v>
      </c>
      <c r="N120" s="19">
        <v>0.16</v>
      </c>
      <c r="O120" s="36">
        <v>0.26667000000000002</v>
      </c>
      <c r="Q120" s="34"/>
      <c r="S120" s="21">
        <v>5.4053190000000001E-2</v>
      </c>
      <c r="T120" s="19">
        <v>9.0093160000000005E-2</v>
      </c>
      <c r="U120" s="19">
        <v>0.21621277</v>
      </c>
      <c r="V120" s="36">
        <v>0.36035910443250002</v>
      </c>
    </row>
    <row r="121" spans="1:22" x14ac:dyDescent="0.45">
      <c r="A121" s="21">
        <v>1985</v>
      </c>
      <c r="B121" s="20">
        <v>4.5710000000000001E-2</v>
      </c>
      <c r="C121" s="20">
        <v>7.6189999999999994E-2</v>
      </c>
      <c r="D121" s="20">
        <v>0.18285999999999999</v>
      </c>
      <c r="E121" s="22">
        <v>0.30475999999999998</v>
      </c>
      <c r="F121" s="19" t="s">
        <v>42</v>
      </c>
      <c r="G121" s="19" t="s">
        <v>43</v>
      </c>
      <c r="H121" s="19" t="s">
        <v>152</v>
      </c>
      <c r="I121" s="34"/>
      <c r="J121" s="34"/>
      <c r="L121" s="21">
        <v>4.5710000000000001E-2</v>
      </c>
      <c r="M121" s="19">
        <v>7.6189999999999994E-2</v>
      </c>
      <c r="N121" s="19">
        <v>0.18285999999999999</v>
      </c>
      <c r="O121" s="36">
        <v>0.30475999999999998</v>
      </c>
      <c r="Q121" s="34"/>
      <c r="S121" s="21">
        <v>4.5710000000000001E-2</v>
      </c>
      <c r="T121" s="19">
        <v>7.6189999999999994E-2</v>
      </c>
      <c r="U121" s="19">
        <v>0.18285999999999999</v>
      </c>
      <c r="V121" s="36">
        <v>0.30475999999999998</v>
      </c>
    </row>
    <row r="122" spans="1:22" x14ac:dyDescent="0.45">
      <c r="A122" s="21">
        <v>1989</v>
      </c>
      <c r="B122" s="20">
        <v>0.21368000000000001</v>
      </c>
      <c r="C122" s="20">
        <v>0.28489999999999999</v>
      </c>
      <c r="D122" s="20">
        <v>0.42735000000000001</v>
      </c>
      <c r="E122" s="22">
        <v>0.85470000000000002</v>
      </c>
      <c r="F122" s="19" t="s">
        <v>111</v>
      </c>
      <c r="G122" s="19" t="s">
        <v>153</v>
      </c>
      <c r="H122" s="19" t="s">
        <v>154</v>
      </c>
      <c r="I122" s="34"/>
      <c r="J122" s="34"/>
      <c r="L122" s="21">
        <v>0.21368000000000001</v>
      </c>
      <c r="M122" s="19">
        <v>0.28489999999999999</v>
      </c>
      <c r="N122" s="19">
        <v>0.42735000000000001</v>
      </c>
      <c r="O122" s="36">
        <v>0.85470000000000002</v>
      </c>
      <c r="Q122" s="34"/>
      <c r="S122" s="21">
        <v>0.21368000000000001</v>
      </c>
      <c r="T122" s="19">
        <v>0.28489999999999999</v>
      </c>
      <c r="U122" s="19">
        <v>0.42735000000000001</v>
      </c>
      <c r="V122" s="36">
        <v>0.85470000000000002</v>
      </c>
    </row>
    <row r="123" spans="1:22" x14ac:dyDescent="0.45">
      <c r="A123" s="21">
        <v>1991</v>
      </c>
      <c r="B123" s="20">
        <v>9.9998409999999996E-2</v>
      </c>
      <c r="C123" s="20">
        <v>0.16667234</v>
      </c>
      <c r="D123" s="20">
        <v>0.39999362999999999</v>
      </c>
      <c r="E123" s="22">
        <v>0.66666439986750003</v>
      </c>
      <c r="F123" s="19" t="s">
        <v>111</v>
      </c>
      <c r="G123" s="19" t="s">
        <v>112</v>
      </c>
      <c r="H123" s="19" t="s">
        <v>155</v>
      </c>
      <c r="I123" s="34"/>
      <c r="J123" s="34"/>
      <c r="L123" s="21">
        <v>0.04</v>
      </c>
      <c r="M123" s="19">
        <v>6.6669999999999993E-2</v>
      </c>
      <c r="N123" s="19">
        <v>0.16</v>
      </c>
      <c r="O123" s="36">
        <v>0.26667000000000002</v>
      </c>
      <c r="Q123" s="34"/>
      <c r="S123" s="21">
        <v>9.9998409999999996E-2</v>
      </c>
      <c r="T123" s="19">
        <v>0.16667234</v>
      </c>
      <c r="U123" s="19">
        <v>0.39999362999999999</v>
      </c>
      <c r="V123" s="36">
        <v>0.66666439986750003</v>
      </c>
    </row>
    <row r="124" spans="1:22" x14ac:dyDescent="0.45">
      <c r="A124" s="21">
        <v>1993</v>
      </c>
      <c r="B124" s="20">
        <v>0.32051000000000002</v>
      </c>
      <c r="C124" s="20">
        <v>0.42735000000000001</v>
      </c>
      <c r="D124" s="20">
        <v>0.64102999999999999</v>
      </c>
      <c r="E124" s="22">
        <v>1</v>
      </c>
      <c r="F124" s="19" t="s">
        <v>111</v>
      </c>
      <c r="G124" s="19" t="s">
        <v>156</v>
      </c>
      <c r="H124" s="19" t="s">
        <v>154</v>
      </c>
      <c r="I124" s="34"/>
      <c r="J124" s="34"/>
      <c r="L124" s="21">
        <v>0.32051000000000002</v>
      </c>
      <c r="M124" s="19">
        <v>0.42735000000000001</v>
      </c>
      <c r="N124" s="19">
        <v>0.64102999999999999</v>
      </c>
      <c r="O124" s="36">
        <v>1</v>
      </c>
      <c r="Q124" s="34"/>
      <c r="S124" s="21">
        <v>0.32051000000000002</v>
      </c>
      <c r="T124" s="19">
        <v>0.42735000000000001</v>
      </c>
      <c r="U124" s="19">
        <v>0.64102999999999999</v>
      </c>
      <c r="V124" s="36">
        <v>1</v>
      </c>
    </row>
    <row r="125" spans="1:22" x14ac:dyDescent="0.45">
      <c r="A125" s="21">
        <v>1995</v>
      </c>
      <c r="B125" s="20">
        <v>0.32051000000000002</v>
      </c>
      <c r="C125" s="20">
        <v>0.42735000000000001</v>
      </c>
      <c r="D125" s="20">
        <v>0.64102999999999999</v>
      </c>
      <c r="E125" s="22">
        <v>1</v>
      </c>
      <c r="F125" s="19" t="s">
        <v>111</v>
      </c>
      <c r="G125" s="19" t="s">
        <v>157</v>
      </c>
      <c r="H125" s="19" t="s">
        <v>154</v>
      </c>
      <c r="I125" s="34"/>
      <c r="J125" s="34"/>
      <c r="L125" s="21">
        <v>0.32051000000000002</v>
      </c>
      <c r="M125" s="19">
        <v>0.42735000000000001</v>
      </c>
      <c r="N125" s="19">
        <v>0.64102999999999999</v>
      </c>
      <c r="O125" s="36">
        <v>1</v>
      </c>
      <c r="Q125" s="34"/>
      <c r="S125" s="21">
        <v>0.32051000000000002</v>
      </c>
      <c r="T125" s="19">
        <v>0.42735000000000001</v>
      </c>
      <c r="U125" s="19">
        <v>0.64102999999999999</v>
      </c>
      <c r="V125" s="36">
        <v>1</v>
      </c>
    </row>
    <row r="126" spans="1:22" x14ac:dyDescent="0.45">
      <c r="A126" s="21">
        <v>1996</v>
      </c>
      <c r="B126" s="20">
        <v>0.21368000000000001</v>
      </c>
      <c r="C126" s="20">
        <v>0.28489999999999999</v>
      </c>
      <c r="D126" s="20">
        <v>0.42735000000000001</v>
      </c>
      <c r="E126" s="22">
        <v>0.85470000000000002</v>
      </c>
      <c r="F126" s="19" t="s">
        <v>111</v>
      </c>
      <c r="G126" s="19" t="s">
        <v>158</v>
      </c>
      <c r="H126" s="19" t="s">
        <v>30</v>
      </c>
      <c r="I126" s="34"/>
      <c r="J126" s="34"/>
      <c r="L126" s="21">
        <v>0.21368000000000001</v>
      </c>
      <c r="M126" s="19">
        <v>0.28489999999999999</v>
      </c>
      <c r="N126" s="19">
        <v>0.42735000000000001</v>
      </c>
      <c r="O126" s="36">
        <v>0.85470000000000002</v>
      </c>
      <c r="Q126" s="34"/>
      <c r="S126" s="21">
        <v>0.21368000000000001</v>
      </c>
      <c r="T126" s="19">
        <v>0.28489999999999999</v>
      </c>
      <c r="U126" s="19">
        <v>0.42735000000000001</v>
      </c>
      <c r="V126" s="36">
        <v>0.85470000000000002</v>
      </c>
    </row>
    <row r="127" spans="1:22" x14ac:dyDescent="0.45">
      <c r="A127" s="21">
        <v>1998</v>
      </c>
      <c r="B127" s="20">
        <v>0.10684</v>
      </c>
      <c r="C127" s="20">
        <v>0.14244999999999999</v>
      </c>
      <c r="D127" s="20">
        <v>0.21368000000000001</v>
      </c>
      <c r="E127" s="22">
        <v>0.42735000000000001</v>
      </c>
      <c r="F127" s="19" t="s">
        <v>113</v>
      </c>
      <c r="G127" s="19" t="s">
        <v>159</v>
      </c>
      <c r="H127" s="19" t="s">
        <v>30</v>
      </c>
      <c r="I127" s="34"/>
      <c r="J127" s="34"/>
      <c r="L127" s="21">
        <v>0.10684</v>
      </c>
      <c r="M127" s="19">
        <v>0.14244999999999999</v>
      </c>
      <c r="N127" s="19">
        <v>0.21368000000000001</v>
      </c>
      <c r="O127" s="36">
        <v>0.42735000000000001</v>
      </c>
      <c r="Q127" s="34"/>
      <c r="S127" s="21">
        <v>0.10684</v>
      </c>
      <c r="T127" s="19">
        <v>0.14244999999999999</v>
      </c>
      <c r="U127" s="19">
        <v>0.21368000000000001</v>
      </c>
      <c r="V127" s="36">
        <v>0.42735000000000001</v>
      </c>
    </row>
    <row r="128" spans="1:22" x14ac:dyDescent="0.45">
      <c r="A128" s="21">
        <v>2001</v>
      </c>
      <c r="B128" s="20">
        <v>0.16666147000000001</v>
      </c>
      <c r="C128" s="20">
        <v>0.22222396</v>
      </c>
      <c r="D128" s="20">
        <v>0.33334892999999999</v>
      </c>
      <c r="E128" s="22">
        <v>0.66667188022932922</v>
      </c>
      <c r="F128" s="19" t="s">
        <v>117</v>
      </c>
      <c r="G128" s="19" t="s">
        <v>160</v>
      </c>
      <c r="H128" s="19" t="s">
        <v>30</v>
      </c>
      <c r="I128" s="34"/>
      <c r="J128" s="34"/>
      <c r="L128" s="21">
        <v>6.4100000000000004E-2</v>
      </c>
      <c r="M128" s="19">
        <v>8.5470000000000004E-2</v>
      </c>
      <c r="N128" s="19">
        <v>0.12820999999999999</v>
      </c>
      <c r="O128" s="36">
        <v>0.25641000000000003</v>
      </c>
      <c r="Q128" s="34"/>
      <c r="S128" s="21">
        <v>0.16666147000000001</v>
      </c>
      <c r="T128" s="19">
        <v>0.22222396</v>
      </c>
      <c r="U128" s="19">
        <v>0.33334892999999999</v>
      </c>
      <c r="V128" s="36">
        <v>0.66667188022932922</v>
      </c>
    </row>
    <row r="129" spans="1:22" ht="14.65" thickBot="1" x14ac:dyDescent="0.5">
      <c r="A129" s="23">
        <v>2002</v>
      </c>
      <c r="B129" s="25">
        <v>6.4100000000000004E-2</v>
      </c>
      <c r="C129" s="25">
        <v>8.5470000000000004E-2</v>
      </c>
      <c r="D129" s="25">
        <v>0.12820999999999999</v>
      </c>
      <c r="E129" s="26">
        <v>0.25641000000000003</v>
      </c>
      <c r="F129" s="24" t="s">
        <v>117</v>
      </c>
      <c r="G129" s="24" t="s">
        <v>161</v>
      </c>
      <c r="H129" s="24" t="s">
        <v>30</v>
      </c>
      <c r="I129" s="34"/>
      <c r="J129" s="34"/>
      <c r="L129" s="23">
        <v>6.4100000000000004E-2</v>
      </c>
      <c r="M129" s="24">
        <v>8.5470000000000004E-2</v>
      </c>
      <c r="N129" s="24">
        <v>0.12820999999999999</v>
      </c>
      <c r="O129" s="37">
        <v>0.25641000000000003</v>
      </c>
      <c r="Q129" s="34"/>
      <c r="S129" s="23">
        <v>6.4100000000000004E-2</v>
      </c>
      <c r="T129" s="24">
        <v>8.5470000000000004E-2</v>
      </c>
      <c r="U129" s="24">
        <v>0.12820999999999999</v>
      </c>
      <c r="V129" s="37">
        <v>0.25641000000000003</v>
      </c>
    </row>
  </sheetData>
  <mergeCells count="2">
    <mergeCell ref="J2:J21"/>
    <mergeCell ref="Q2:Q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et_rates_original">
                <anchor moveWithCells="1" sizeWithCells="1">
                  <from>
                    <xdr:col>9</xdr:col>
                    <xdr:colOff>176213</xdr:colOff>
                    <xdr:row>16</xdr:row>
                    <xdr:rowOff>123825</xdr:rowOff>
                  </from>
                  <to>
                    <xdr:col>9</xdr:col>
                    <xdr:colOff>1376363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det_rates_QA">
                <anchor moveWithCells="1" sizeWithCells="1">
                  <from>
                    <xdr:col>16</xdr:col>
                    <xdr:colOff>157163</xdr:colOff>
                    <xdr:row>16</xdr:row>
                    <xdr:rowOff>95250</xdr:rowOff>
                  </from>
                  <to>
                    <xdr:col>16</xdr:col>
                    <xdr:colOff>1376363</xdr:colOff>
                    <xdr:row>19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/>
  </sheetPr>
  <dimension ref="A1:AQ129"/>
  <sheetViews>
    <sheetView topLeftCell="A4" workbookViewId="0">
      <selection activeCell="A21" sqref="A21"/>
    </sheetView>
  </sheetViews>
  <sheetFormatPr defaultColWidth="9" defaultRowHeight="14.25" x14ac:dyDescent="0.45"/>
  <cols>
    <col min="1" max="5" width="9" style="18" collapsed="1"/>
    <col min="6" max="6" width="30.86328125" style="18" customWidth="1" collapsed="1"/>
    <col min="7" max="7" width="61.73046875" style="18" customWidth="1" collapsed="1"/>
    <col min="8" max="8" width="53.265625" style="18" customWidth="1" collapsed="1"/>
    <col min="9" max="9" width="5.86328125" style="18" customWidth="1" collapsed="1"/>
    <col min="10" max="10" width="33.1328125" style="18" customWidth="1" collapsed="1"/>
    <col min="11" max="15" width="9" style="18" collapsed="1"/>
    <col min="16" max="16" width="5.86328125" style="18" customWidth="1" collapsed="1"/>
    <col min="17" max="17" width="33.1328125" style="18" customWidth="1" collapsed="1"/>
    <col min="18" max="22" width="9" style="18" collapsed="1"/>
    <col min="23" max="23" width="9" style="18"/>
    <col min="24" max="24" width="33.1328125" style="18" customWidth="1" collapsed="1"/>
    <col min="25" max="30" width="9" style="18" collapsed="1"/>
    <col min="31" max="31" width="33.1328125" style="18" customWidth="1" collapsed="1"/>
    <col min="32" max="37" width="9" style="18" collapsed="1"/>
    <col min="38" max="38" width="33.1328125" style="18" customWidth="1" collapsed="1"/>
    <col min="39" max="16384" width="9" style="18" collapsed="1"/>
  </cols>
  <sheetData>
    <row r="1" spans="1:43" ht="14.65" thickBot="1" x14ac:dyDescent="0.5">
      <c r="A1" s="31" t="s">
        <v>12</v>
      </c>
      <c r="B1" s="32" t="s">
        <v>187</v>
      </c>
      <c r="C1" s="32" t="s">
        <v>188</v>
      </c>
      <c r="D1" s="32" t="s">
        <v>189</v>
      </c>
      <c r="E1" s="33" t="s">
        <v>190</v>
      </c>
      <c r="F1" s="32" t="s">
        <v>163</v>
      </c>
      <c r="G1" s="32" t="s">
        <v>164</v>
      </c>
      <c r="H1" s="32" t="s">
        <v>165</v>
      </c>
      <c r="L1" s="31" t="s">
        <v>174</v>
      </c>
      <c r="M1" s="32" t="s">
        <v>175</v>
      </c>
      <c r="N1" s="32" t="s">
        <v>176</v>
      </c>
      <c r="O1" s="33" t="s">
        <v>177</v>
      </c>
      <c r="S1" s="69" t="s">
        <v>187</v>
      </c>
      <c r="T1" s="69" t="s">
        <v>188</v>
      </c>
      <c r="U1" s="69" t="s">
        <v>189</v>
      </c>
      <c r="V1" s="69" t="s">
        <v>190</v>
      </c>
      <c r="Z1" s="69" t="s">
        <v>187</v>
      </c>
      <c r="AA1" s="69" t="s">
        <v>188</v>
      </c>
      <c r="AB1" s="69" t="s">
        <v>189</v>
      </c>
      <c r="AC1" s="69" t="s">
        <v>190</v>
      </c>
      <c r="AG1" s="69" t="s">
        <v>187</v>
      </c>
      <c r="AH1" s="69" t="s">
        <v>188</v>
      </c>
      <c r="AI1" s="69" t="s">
        <v>189</v>
      </c>
      <c r="AJ1" s="69" t="s">
        <v>190</v>
      </c>
      <c r="AN1" s="69" t="s">
        <v>187</v>
      </c>
      <c r="AO1" s="69" t="s">
        <v>188</v>
      </c>
      <c r="AP1" s="69" t="s">
        <v>189</v>
      </c>
      <c r="AQ1" s="69" t="s">
        <v>190</v>
      </c>
    </row>
    <row r="2" spans="1:43" x14ac:dyDescent="0.45">
      <c r="A2" s="27">
        <v>1700</v>
      </c>
      <c r="B2" s="46">
        <v>6.7831420871812478</v>
      </c>
      <c r="C2" s="46">
        <v>33.937486172943743</v>
      </c>
      <c r="D2" s="46">
        <v>135.76083256029369</v>
      </c>
      <c r="E2" s="47">
        <v>135.76083256029369</v>
      </c>
      <c r="F2" s="28" t="s">
        <v>13</v>
      </c>
      <c r="G2" s="28" t="s">
        <v>14</v>
      </c>
      <c r="H2" s="28" t="s">
        <v>15</v>
      </c>
      <c r="L2" s="48">
        <v>7.6859130000000002</v>
      </c>
      <c r="M2" s="49">
        <v>38.429560000000002</v>
      </c>
      <c r="N2" s="49">
        <v>153.7183</v>
      </c>
      <c r="O2" s="50">
        <v>161.4042</v>
      </c>
      <c r="S2" s="19">
        <v>6.23</v>
      </c>
      <c r="T2" s="19">
        <v>31.17</v>
      </c>
      <c r="U2" s="19">
        <v>124.69</v>
      </c>
      <c r="V2" s="19">
        <v>124.69</v>
      </c>
      <c r="Z2" s="19">
        <f>S2 *215 / 234</f>
        <v>5.7241452991452997</v>
      </c>
      <c r="AA2" s="19">
        <f t="shared" ref="AA2:AC2" si="0">T2 *215 / 234</f>
        <v>28.639102564102565</v>
      </c>
      <c r="AB2" s="19">
        <f t="shared" si="0"/>
        <v>114.56559829059829</v>
      </c>
      <c r="AC2" s="19">
        <f t="shared" si="0"/>
        <v>114.56559829059829</v>
      </c>
      <c r="AG2" s="19">
        <f>S2 * 297 / 234</f>
        <v>7.9073076923076933</v>
      </c>
      <c r="AH2" s="19">
        <f t="shared" ref="AH2:AJ2" si="1">T2 * 297 / 234</f>
        <v>39.561923076923073</v>
      </c>
      <c r="AI2" s="19">
        <f t="shared" si="1"/>
        <v>158.26038461538462</v>
      </c>
      <c r="AJ2" s="19">
        <f t="shared" si="1"/>
        <v>158.26038461538462</v>
      </c>
      <c r="AN2" s="19">
        <f>S2 * 1.019*1.017*1.025*1.025</f>
        <v>6.7831420871812478</v>
      </c>
      <c r="AO2" s="19">
        <f t="shared" ref="AO2:AQ2" si="2">T2 * 1.019*1.017*1.025*1.025</f>
        <v>33.937486172943743</v>
      </c>
      <c r="AP2" s="19">
        <f t="shared" si="2"/>
        <v>135.76083256029369</v>
      </c>
      <c r="AQ2" s="19">
        <f t="shared" si="2"/>
        <v>135.76083256029369</v>
      </c>
    </row>
    <row r="3" spans="1:43" ht="14.65" thickBot="1" x14ac:dyDescent="0.5">
      <c r="A3" s="21">
        <v>1701</v>
      </c>
      <c r="B3" s="40">
        <v>12.444833716931246</v>
      </c>
      <c r="C3" s="40">
        <v>43.55147407499998</v>
      </c>
      <c r="D3" s="40">
        <v>248.88578647010615</v>
      </c>
      <c r="E3" s="42">
        <v>248.88578647010615</v>
      </c>
      <c r="F3" s="19" t="s">
        <v>13</v>
      </c>
      <c r="G3" s="19" t="s">
        <v>14</v>
      </c>
      <c r="H3" s="19" t="s">
        <v>46</v>
      </c>
      <c r="L3" s="51">
        <v>14.09</v>
      </c>
      <c r="M3" s="52">
        <v>49.314990000000002</v>
      </c>
      <c r="N3" s="52">
        <v>281.8</v>
      </c>
      <c r="O3" s="53">
        <v>295.89</v>
      </c>
      <c r="S3" s="19">
        <v>11.43</v>
      </c>
      <c r="T3" s="19">
        <v>40</v>
      </c>
      <c r="U3" s="19">
        <v>228.59</v>
      </c>
      <c r="V3" s="19">
        <v>228.59</v>
      </c>
      <c r="Z3" s="19">
        <f t="shared" ref="Z3:Z66" si="3">S3 *215 / 234</f>
        <v>10.501923076923076</v>
      </c>
      <c r="AA3" s="19">
        <f t="shared" ref="AA3:AA66" si="4">T3 *215 / 234</f>
        <v>36.752136752136749</v>
      </c>
      <c r="AB3" s="19">
        <f t="shared" ref="AB3:AB66" si="5">U3 *215 / 234</f>
        <v>210.0292735042735</v>
      </c>
      <c r="AC3" s="19">
        <f t="shared" ref="AC3:AC66" si="6">V3 *215 / 234</f>
        <v>210.0292735042735</v>
      </c>
      <c r="AG3" s="19">
        <f t="shared" ref="AG3:AG66" si="7">S3 * 297 / 234</f>
        <v>14.507307692307693</v>
      </c>
      <c r="AH3" s="19">
        <f t="shared" ref="AH3:AH66" si="8">T3 * 297 / 234</f>
        <v>50.769230769230766</v>
      </c>
      <c r="AI3" s="19">
        <f t="shared" ref="AI3:AI66" si="9">U3 * 297 / 234</f>
        <v>290.13346153846152</v>
      </c>
      <c r="AJ3" s="19">
        <f t="shared" ref="AJ3:AJ66" si="10">V3 * 297 / 234</f>
        <v>290.13346153846152</v>
      </c>
      <c r="AN3" s="19">
        <f t="shared" ref="AN3:AN66" si="11">S3 * 1.019*1.017*1.025*1.025</f>
        <v>12.444833716931246</v>
      </c>
      <c r="AO3" s="19">
        <f t="shared" ref="AO3:AO66" si="12">T3 * 1.019*1.017*1.025*1.025</f>
        <v>43.55147407499998</v>
      </c>
      <c r="AP3" s="19">
        <f t="shared" ref="AP3:AP66" si="13">U3 * 1.019*1.017*1.025*1.025</f>
        <v>248.88578647010615</v>
      </c>
      <c r="AQ3" s="19">
        <f t="shared" ref="AQ3:AQ66" si="14">V3 * 1.019*1.017*1.025*1.025</f>
        <v>248.88578647010615</v>
      </c>
    </row>
    <row r="4" spans="1:43" ht="28.5" customHeight="1" x14ac:dyDescent="0.45">
      <c r="A4" s="21">
        <v>1706</v>
      </c>
      <c r="B4" s="40">
        <v>12.466609453968744</v>
      </c>
      <c r="C4" s="40">
        <v>37.399828361906238</v>
      </c>
      <c r="D4" s="40">
        <v>124.67698240820621</v>
      </c>
      <c r="E4" s="42">
        <v>124.67698240820621</v>
      </c>
      <c r="F4" s="19" t="s">
        <v>13</v>
      </c>
      <c r="G4" s="19" t="s">
        <v>16</v>
      </c>
      <c r="H4" s="19" t="s">
        <v>17</v>
      </c>
      <c r="J4" s="71" t="s">
        <v>207</v>
      </c>
      <c r="L4" s="51">
        <v>14.11645</v>
      </c>
      <c r="M4" s="52">
        <v>42.349359999999997</v>
      </c>
      <c r="N4" s="52">
        <v>141.1645</v>
      </c>
      <c r="O4" s="53">
        <v>148.22280000000001</v>
      </c>
      <c r="Q4" s="71" t="s">
        <v>191</v>
      </c>
      <c r="S4" s="19">
        <v>11.45</v>
      </c>
      <c r="T4" s="19">
        <v>34.35</v>
      </c>
      <c r="U4" s="19">
        <v>114.51</v>
      </c>
      <c r="V4" s="19">
        <v>114.51</v>
      </c>
      <c r="X4" s="71" t="s">
        <v>206</v>
      </c>
      <c r="Z4" s="19">
        <f t="shared" si="3"/>
        <v>10.520299145299145</v>
      </c>
      <c r="AA4" s="19">
        <f t="shared" si="4"/>
        <v>31.560897435897434</v>
      </c>
      <c r="AB4" s="19">
        <f t="shared" si="5"/>
        <v>105.2121794871795</v>
      </c>
      <c r="AC4" s="19">
        <f t="shared" si="6"/>
        <v>105.2121794871795</v>
      </c>
      <c r="AE4" s="71" t="s">
        <v>205</v>
      </c>
      <c r="AG4" s="19">
        <f t="shared" si="7"/>
        <v>14.532692307692306</v>
      </c>
      <c r="AH4" s="19">
        <f t="shared" si="8"/>
        <v>43.598076923076924</v>
      </c>
      <c r="AI4" s="19">
        <f t="shared" si="9"/>
        <v>145.3396153846154</v>
      </c>
      <c r="AJ4" s="19">
        <f t="shared" si="10"/>
        <v>145.3396153846154</v>
      </c>
      <c r="AL4" s="71" t="s">
        <v>203</v>
      </c>
      <c r="AN4" s="19">
        <f t="shared" si="11"/>
        <v>12.466609453968744</v>
      </c>
      <c r="AO4" s="19">
        <f t="shared" si="12"/>
        <v>37.399828361906238</v>
      </c>
      <c r="AP4" s="19">
        <f t="shared" si="13"/>
        <v>124.67698240820621</v>
      </c>
      <c r="AQ4" s="19">
        <f t="shared" si="14"/>
        <v>124.67698240820621</v>
      </c>
    </row>
    <row r="5" spans="1:43" x14ac:dyDescent="0.45">
      <c r="A5" s="21">
        <v>1707</v>
      </c>
      <c r="B5" s="40">
        <v>11.780673737287497</v>
      </c>
      <c r="C5" s="40">
        <v>35.352909080381238</v>
      </c>
      <c r="D5" s="40">
        <v>117.85028884694995</v>
      </c>
      <c r="E5" s="42">
        <v>117.85028884694995</v>
      </c>
      <c r="F5" s="19" t="s">
        <v>13</v>
      </c>
      <c r="G5" s="19" t="s">
        <v>16</v>
      </c>
      <c r="H5" s="19" t="s">
        <v>18</v>
      </c>
      <c r="J5" s="72"/>
      <c r="L5" s="51">
        <v>13.343109999999999</v>
      </c>
      <c r="M5" s="52">
        <v>40.029319999999998</v>
      </c>
      <c r="N5" s="52">
        <v>133.43109999999999</v>
      </c>
      <c r="O5" s="53">
        <v>140.1026</v>
      </c>
      <c r="Q5" s="72"/>
      <c r="S5" s="19">
        <v>10.82</v>
      </c>
      <c r="T5" s="19">
        <v>32.47</v>
      </c>
      <c r="U5" s="19">
        <v>108.24</v>
      </c>
      <c r="V5" s="19">
        <v>108.24</v>
      </c>
      <c r="X5" s="72"/>
      <c r="Z5" s="19">
        <f t="shared" si="3"/>
        <v>9.9414529914529925</v>
      </c>
      <c r="AA5" s="19">
        <f t="shared" si="4"/>
        <v>29.833547008547008</v>
      </c>
      <c r="AB5" s="19">
        <f t="shared" si="5"/>
        <v>99.45128205128205</v>
      </c>
      <c r="AC5" s="19">
        <f t="shared" si="6"/>
        <v>99.45128205128205</v>
      </c>
      <c r="AE5" s="72"/>
      <c r="AG5" s="19">
        <f t="shared" si="7"/>
        <v>13.733076923076922</v>
      </c>
      <c r="AH5" s="19">
        <f t="shared" si="8"/>
        <v>41.211923076923078</v>
      </c>
      <c r="AI5" s="19">
        <f t="shared" si="9"/>
        <v>137.38153846153847</v>
      </c>
      <c r="AJ5" s="19">
        <f t="shared" si="10"/>
        <v>137.38153846153847</v>
      </c>
      <c r="AL5" s="72"/>
      <c r="AN5" s="19">
        <f t="shared" si="11"/>
        <v>11.780673737287497</v>
      </c>
      <c r="AO5" s="19">
        <f t="shared" si="12"/>
        <v>35.352909080381238</v>
      </c>
      <c r="AP5" s="19">
        <f t="shared" si="13"/>
        <v>117.85028884694995</v>
      </c>
      <c r="AQ5" s="19">
        <f t="shared" si="14"/>
        <v>117.85028884694995</v>
      </c>
    </row>
    <row r="6" spans="1:43" x14ac:dyDescent="0.45">
      <c r="A6" s="21">
        <v>1708</v>
      </c>
      <c r="B6" s="40">
        <v>38.238194237849982</v>
      </c>
      <c r="C6" s="40">
        <v>114.71458271354994</v>
      </c>
      <c r="D6" s="40">
        <v>305.91644177131866</v>
      </c>
      <c r="E6" s="42">
        <v>305.91644177131866</v>
      </c>
      <c r="F6" s="19" t="s">
        <v>13</v>
      </c>
      <c r="G6" s="19" t="s">
        <v>16</v>
      </c>
      <c r="H6" s="19" t="s">
        <v>19</v>
      </c>
      <c r="J6" s="72"/>
      <c r="L6" s="51">
        <v>43.296430000000001</v>
      </c>
      <c r="M6" s="52">
        <v>129.88929999999999</v>
      </c>
      <c r="N6" s="52">
        <v>346.37139999999999</v>
      </c>
      <c r="O6" s="53">
        <v>363.69</v>
      </c>
      <c r="Q6" s="72"/>
      <c r="S6" s="19">
        <v>35.119999999999997</v>
      </c>
      <c r="T6" s="19">
        <v>105.36</v>
      </c>
      <c r="U6" s="19">
        <v>280.97000000000003</v>
      </c>
      <c r="V6" s="19">
        <v>280.97000000000003</v>
      </c>
      <c r="X6" s="72"/>
      <c r="Z6" s="19">
        <f t="shared" si="3"/>
        <v>32.268376068376064</v>
      </c>
      <c r="AA6" s="19">
        <f t="shared" si="4"/>
        <v>96.805128205128213</v>
      </c>
      <c r="AB6" s="19">
        <f t="shared" si="5"/>
        <v>258.15619658119658</v>
      </c>
      <c r="AC6" s="19">
        <f t="shared" si="6"/>
        <v>258.15619658119658</v>
      </c>
      <c r="AE6" s="72"/>
      <c r="AG6" s="19">
        <f t="shared" si="7"/>
        <v>44.575384615384614</v>
      </c>
      <c r="AH6" s="19">
        <f t="shared" si="8"/>
        <v>133.72615384615384</v>
      </c>
      <c r="AI6" s="19">
        <f t="shared" si="9"/>
        <v>356.61576923076927</v>
      </c>
      <c r="AJ6" s="19">
        <f t="shared" si="10"/>
        <v>356.61576923076927</v>
      </c>
      <c r="AL6" s="72"/>
      <c r="AN6" s="19">
        <f t="shared" si="11"/>
        <v>38.238194237849982</v>
      </c>
      <c r="AO6" s="19">
        <f t="shared" si="12"/>
        <v>114.71458271354994</v>
      </c>
      <c r="AP6" s="19">
        <f t="shared" si="13"/>
        <v>305.91644177131866</v>
      </c>
      <c r="AQ6" s="19">
        <f t="shared" si="14"/>
        <v>305.91644177131866</v>
      </c>
    </row>
    <row r="7" spans="1:43" x14ac:dyDescent="0.45">
      <c r="A7" s="21">
        <v>1710</v>
      </c>
      <c r="B7" s="40">
        <v>0.90369308705624962</v>
      </c>
      <c r="C7" s="40">
        <v>4.5075775667624969</v>
      </c>
      <c r="D7" s="40">
        <v>18.019422398531244</v>
      </c>
      <c r="E7" s="42">
        <v>18.019422398531244</v>
      </c>
      <c r="F7" s="19" t="s">
        <v>13</v>
      </c>
      <c r="G7" s="19" t="s">
        <v>20</v>
      </c>
      <c r="H7" s="19" t="s">
        <v>21</v>
      </c>
      <c r="J7" s="72"/>
      <c r="L7" s="51">
        <v>1.02023</v>
      </c>
      <c r="M7" s="52">
        <v>5.1011509999999998</v>
      </c>
      <c r="N7" s="52">
        <v>20.404599999999999</v>
      </c>
      <c r="O7" s="53">
        <v>21.42483</v>
      </c>
      <c r="Q7" s="72"/>
      <c r="S7" s="19">
        <v>0.83</v>
      </c>
      <c r="T7" s="19">
        <v>4.1399999999999997</v>
      </c>
      <c r="U7" s="19">
        <v>16.55</v>
      </c>
      <c r="V7" s="19">
        <v>16.55</v>
      </c>
      <c r="X7" s="72"/>
      <c r="Z7" s="19">
        <f t="shared" si="3"/>
        <v>0.76260683760683756</v>
      </c>
      <c r="AA7" s="19">
        <f t="shared" si="4"/>
        <v>3.8038461538461537</v>
      </c>
      <c r="AB7" s="19">
        <f t="shared" si="5"/>
        <v>15.206196581196581</v>
      </c>
      <c r="AC7" s="19">
        <f t="shared" si="6"/>
        <v>15.206196581196581</v>
      </c>
      <c r="AE7" s="72"/>
      <c r="AG7" s="19">
        <f t="shared" si="7"/>
        <v>1.0534615384615384</v>
      </c>
      <c r="AH7" s="19">
        <f t="shared" si="8"/>
        <v>5.2546153846153842</v>
      </c>
      <c r="AI7" s="19">
        <f t="shared" si="9"/>
        <v>21.005769230769232</v>
      </c>
      <c r="AJ7" s="19">
        <f t="shared" si="10"/>
        <v>21.005769230769232</v>
      </c>
      <c r="AL7" s="72"/>
      <c r="AN7" s="19">
        <f t="shared" si="11"/>
        <v>0.90369308705624962</v>
      </c>
      <c r="AO7" s="19">
        <f t="shared" si="12"/>
        <v>4.5075775667624969</v>
      </c>
      <c r="AP7" s="19">
        <f t="shared" si="13"/>
        <v>18.019422398531244</v>
      </c>
      <c r="AQ7" s="19">
        <f t="shared" si="14"/>
        <v>18.019422398531244</v>
      </c>
    </row>
    <row r="8" spans="1:43" x14ac:dyDescent="0.45">
      <c r="A8" s="21">
        <v>1711</v>
      </c>
      <c r="B8" s="40">
        <v>1.1323383259499997</v>
      </c>
      <c r="C8" s="40">
        <v>5.6725794982687487</v>
      </c>
      <c r="D8" s="40">
        <v>22.66854225603749</v>
      </c>
      <c r="E8" s="42">
        <v>22.66854225603749</v>
      </c>
      <c r="F8" s="19" t="s">
        <v>13</v>
      </c>
      <c r="G8" s="19" t="s">
        <v>22</v>
      </c>
      <c r="H8" s="19" t="s">
        <v>23</v>
      </c>
      <c r="J8" s="72"/>
      <c r="L8" s="51">
        <v>1.2833140000000001</v>
      </c>
      <c r="M8" s="52">
        <v>6.4165700000000001</v>
      </c>
      <c r="N8" s="52">
        <v>25.66628</v>
      </c>
      <c r="O8" s="53">
        <v>26.9496</v>
      </c>
      <c r="Q8" s="72"/>
      <c r="S8" s="19">
        <v>1.04</v>
      </c>
      <c r="T8" s="19">
        <v>5.21</v>
      </c>
      <c r="U8" s="19">
        <v>20.82</v>
      </c>
      <c r="V8" s="19">
        <v>20.82</v>
      </c>
      <c r="X8" s="72"/>
      <c r="Z8" s="19">
        <f t="shared" si="3"/>
        <v>0.95555555555555549</v>
      </c>
      <c r="AA8" s="19">
        <f t="shared" si="4"/>
        <v>4.7869658119658123</v>
      </c>
      <c r="AB8" s="19">
        <f t="shared" si="5"/>
        <v>19.129487179487182</v>
      </c>
      <c r="AC8" s="19">
        <f t="shared" si="6"/>
        <v>19.129487179487182</v>
      </c>
      <c r="AE8" s="72"/>
      <c r="AG8" s="19">
        <f t="shared" si="7"/>
        <v>1.32</v>
      </c>
      <c r="AH8" s="19">
        <f t="shared" si="8"/>
        <v>6.6126923076923072</v>
      </c>
      <c r="AI8" s="19">
        <f t="shared" si="9"/>
        <v>26.425384615384615</v>
      </c>
      <c r="AJ8" s="19">
        <f t="shared" si="10"/>
        <v>26.425384615384615</v>
      </c>
      <c r="AL8" s="72"/>
      <c r="AN8" s="19">
        <f t="shared" si="11"/>
        <v>1.1323383259499997</v>
      </c>
      <c r="AO8" s="19">
        <f t="shared" si="12"/>
        <v>5.6725794982687487</v>
      </c>
      <c r="AP8" s="19">
        <f t="shared" si="13"/>
        <v>22.66854225603749</v>
      </c>
      <c r="AQ8" s="19">
        <f t="shared" si="14"/>
        <v>22.66854225603749</v>
      </c>
    </row>
    <row r="9" spans="1:43" x14ac:dyDescent="0.45">
      <c r="A9" s="21">
        <v>1712</v>
      </c>
      <c r="B9" s="40">
        <v>0.97990816668749969</v>
      </c>
      <c r="C9" s="40">
        <v>4.9104287019562474</v>
      </c>
      <c r="D9" s="40">
        <v>19.641714807824989</v>
      </c>
      <c r="E9" s="42">
        <v>19.641714807824989</v>
      </c>
      <c r="F9" s="19" t="s">
        <v>13</v>
      </c>
      <c r="G9" s="19" t="s">
        <v>22</v>
      </c>
      <c r="H9" s="19" t="s">
        <v>24</v>
      </c>
      <c r="J9" s="72"/>
      <c r="L9" s="51">
        <v>1.112087</v>
      </c>
      <c r="M9" s="52">
        <v>5.5604329999999997</v>
      </c>
      <c r="N9" s="52">
        <v>22.24173</v>
      </c>
      <c r="O9" s="53">
        <v>23.353819999999999</v>
      </c>
      <c r="Q9" s="72"/>
      <c r="S9" s="19">
        <v>0.9</v>
      </c>
      <c r="T9" s="19">
        <v>4.51</v>
      </c>
      <c r="U9" s="19">
        <v>18.04</v>
      </c>
      <c r="V9" s="19">
        <v>18.04</v>
      </c>
      <c r="X9" s="72"/>
      <c r="Z9" s="19">
        <f t="shared" si="3"/>
        <v>0.82692307692307687</v>
      </c>
      <c r="AA9" s="19">
        <f t="shared" si="4"/>
        <v>4.1438034188034187</v>
      </c>
      <c r="AB9" s="19">
        <f t="shared" si="5"/>
        <v>16.575213675213675</v>
      </c>
      <c r="AC9" s="19">
        <f t="shared" si="6"/>
        <v>16.575213675213675</v>
      </c>
      <c r="AE9" s="72"/>
      <c r="AG9" s="19">
        <f t="shared" si="7"/>
        <v>1.1423076923076922</v>
      </c>
      <c r="AH9" s="19">
        <f t="shared" si="8"/>
        <v>5.7242307692307692</v>
      </c>
      <c r="AI9" s="19">
        <f t="shared" si="9"/>
        <v>22.896923076923077</v>
      </c>
      <c r="AJ9" s="19">
        <f t="shared" si="10"/>
        <v>22.896923076923077</v>
      </c>
      <c r="AL9" s="72"/>
      <c r="AN9" s="19">
        <f t="shared" si="11"/>
        <v>0.97990816668749969</v>
      </c>
      <c r="AO9" s="19">
        <f t="shared" si="12"/>
        <v>4.9104287019562474</v>
      </c>
      <c r="AP9" s="19">
        <f t="shared" si="13"/>
        <v>19.641714807824989</v>
      </c>
      <c r="AQ9" s="19">
        <f t="shared" si="14"/>
        <v>19.641714807824989</v>
      </c>
    </row>
    <row r="10" spans="1:43" x14ac:dyDescent="0.45">
      <c r="A10" s="21">
        <v>1713</v>
      </c>
      <c r="B10" s="40">
        <v>2.4933218907937493</v>
      </c>
      <c r="C10" s="40">
        <v>12.455721585449997</v>
      </c>
      <c r="D10" s="40">
        <v>49.811998473281221</v>
      </c>
      <c r="E10" s="42">
        <v>49.811998473281221</v>
      </c>
      <c r="F10" s="19" t="s">
        <v>13</v>
      </c>
      <c r="G10" s="19" t="s">
        <v>22</v>
      </c>
      <c r="H10" s="19" t="s">
        <v>25</v>
      </c>
      <c r="J10" s="72"/>
      <c r="L10" s="51">
        <v>2.820125</v>
      </c>
      <c r="M10" s="52">
        <v>14.100630000000001</v>
      </c>
      <c r="N10" s="52">
        <v>56.402500000000003</v>
      </c>
      <c r="O10" s="53">
        <v>59.222630000000002</v>
      </c>
      <c r="Q10" s="72"/>
      <c r="S10" s="19">
        <v>2.29</v>
      </c>
      <c r="T10" s="19">
        <v>11.44</v>
      </c>
      <c r="U10" s="19">
        <v>45.75</v>
      </c>
      <c r="V10" s="19">
        <v>45.75</v>
      </c>
      <c r="X10" s="72"/>
      <c r="Z10" s="19">
        <f t="shared" si="3"/>
        <v>2.1040598290598291</v>
      </c>
      <c r="AA10" s="19">
        <f t="shared" si="4"/>
        <v>10.511111111111111</v>
      </c>
      <c r="AB10" s="19">
        <f t="shared" si="5"/>
        <v>42.035256410256409</v>
      </c>
      <c r="AC10" s="19">
        <f t="shared" si="6"/>
        <v>42.035256410256409</v>
      </c>
      <c r="AE10" s="72"/>
      <c r="AG10" s="19">
        <f t="shared" si="7"/>
        <v>2.9065384615384615</v>
      </c>
      <c r="AH10" s="19">
        <f t="shared" si="8"/>
        <v>14.52</v>
      </c>
      <c r="AI10" s="19">
        <f t="shared" si="9"/>
        <v>58.067307692307693</v>
      </c>
      <c r="AJ10" s="19">
        <f t="shared" si="10"/>
        <v>58.067307692307693</v>
      </c>
      <c r="AL10" s="72"/>
      <c r="AN10" s="19">
        <f t="shared" si="11"/>
        <v>2.4933218907937493</v>
      </c>
      <c r="AO10" s="19">
        <f t="shared" si="12"/>
        <v>12.455721585449997</v>
      </c>
      <c r="AP10" s="19">
        <f t="shared" si="13"/>
        <v>49.811998473281221</v>
      </c>
      <c r="AQ10" s="19">
        <f t="shared" si="14"/>
        <v>49.811998473281221</v>
      </c>
    </row>
    <row r="11" spans="1:43" x14ac:dyDescent="0.45">
      <c r="A11" s="21">
        <v>1714</v>
      </c>
      <c r="B11" s="40">
        <v>0.42462687223124984</v>
      </c>
      <c r="C11" s="40">
        <v>2.1449100981937494</v>
      </c>
      <c r="D11" s="40">
        <v>8.5687525242562455</v>
      </c>
      <c r="E11" s="42">
        <v>8.5687525242562455</v>
      </c>
      <c r="F11" s="19" t="s">
        <v>13</v>
      </c>
      <c r="G11" s="19" t="s">
        <v>22</v>
      </c>
      <c r="H11" s="19" t="s">
        <v>26</v>
      </c>
      <c r="J11" s="72"/>
      <c r="L11" s="51">
        <v>0.48514439999999998</v>
      </c>
      <c r="M11" s="52">
        <v>2.4257219999999999</v>
      </c>
      <c r="N11" s="52">
        <v>9.7028890000000008</v>
      </c>
      <c r="O11" s="53">
        <v>10.188029999999999</v>
      </c>
      <c r="Q11" s="72"/>
      <c r="S11" s="19">
        <v>0.39</v>
      </c>
      <c r="T11" s="19">
        <v>1.97</v>
      </c>
      <c r="U11" s="19">
        <v>7.87</v>
      </c>
      <c r="V11" s="19">
        <v>7.87</v>
      </c>
      <c r="X11" s="72"/>
      <c r="Z11" s="19">
        <f t="shared" si="3"/>
        <v>0.35833333333333339</v>
      </c>
      <c r="AA11" s="19">
        <f t="shared" si="4"/>
        <v>1.8100427350427351</v>
      </c>
      <c r="AB11" s="19">
        <f t="shared" si="5"/>
        <v>7.2309829059829056</v>
      </c>
      <c r="AC11" s="19">
        <f t="shared" si="6"/>
        <v>7.2309829059829056</v>
      </c>
      <c r="AE11" s="72"/>
      <c r="AG11" s="19">
        <f t="shared" si="7"/>
        <v>0.495</v>
      </c>
      <c r="AH11" s="19">
        <f t="shared" si="8"/>
        <v>2.5003846153846156</v>
      </c>
      <c r="AI11" s="19">
        <f t="shared" si="9"/>
        <v>9.9888461538461542</v>
      </c>
      <c r="AJ11" s="19">
        <f t="shared" si="10"/>
        <v>9.9888461538461542</v>
      </c>
      <c r="AL11" s="72"/>
      <c r="AN11" s="19">
        <f t="shared" si="11"/>
        <v>0.42462687223124984</v>
      </c>
      <c r="AO11" s="19">
        <f t="shared" si="12"/>
        <v>2.1449100981937494</v>
      </c>
      <c r="AP11" s="19">
        <f t="shared" si="13"/>
        <v>8.5687525242562455</v>
      </c>
      <c r="AQ11" s="19">
        <f t="shared" si="14"/>
        <v>8.5687525242562455</v>
      </c>
    </row>
    <row r="12" spans="1:43" x14ac:dyDescent="0.45">
      <c r="A12" s="21">
        <v>1715</v>
      </c>
      <c r="B12" s="40">
        <v>0.90369308705624962</v>
      </c>
      <c r="C12" s="40">
        <v>4.5075775667624969</v>
      </c>
      <c r="D12" s="40">
        <v>18.019422398531244</v>
      </c>
      <c r="E12" s="42">
        <v>18.019422398531244</v>
      </c>
      <c r="F12" s="19" t="s">
        <v>13</v>
      </c>
      <c r="G12" s="19" t="s">
        <v>20</v>
      </c>
      <c r="H12" s="19" t="s">
        <v>27</v>
      </c>
      <c r="J12" s="72"/>
      <c r="L12" s="51">
        <v>1.02023</v>
      </c>
      <c r="M12" s="52">
        <v>5.1011509999999998</v>
      </c>
      <c r="N12" s="52">
        <v>20.404599999999999</v>
      </c>
      <c r="O12" s="53">
        <v>21.42483</v>
      </c>
      <c r="Q12" s="72"/>
      <c r="S12" s="19">
        <v>0.83</v>
      </c>
      <c r="T12" s="19">
        <v>4.1399999999999997</v>
      </c>
      <c r="U12" s="19">
        <v>16.55</v>
      </c>
      <c r="V12" s="19">
        <v>16.55</v>
      </c>
      <c r="X12" s="72"/>
      <c r="Z12" s="19">
        <f t="shared" si="3"/>
        <v>0.76260683760683756</v>
      </c>
      <c r="AA12" s="19">
        <f t="shared" si="4"/>
        <v>3.8038461538461537</v>
      </c>
      <c r="AB12" s="19">
        <f t="shared" si="5"/>
        <v>15.206196581196581</v>
      </c>
      <c r="AC12" s="19">
        <f t="shared" si="6"/>
        <v>15.206196581196581</v>
      </c>
      <c r="AE12" s="72"/>
      <c r="AG12" s="19">
        <f t="shared" si="7"/>
        <v>1.0534615384615384</v>
      </c>
      <c r="AH12" s="19">
        <f t="shared" si="8"/>
        <v>5.2546153846153842</v>
      </c>
      <c r="AI12" s="19">
        <f t="shared" si="9"/>
        <v>21.005769230769232</v>
      </c>
      <c r="AJ12" s="19">
        <f t="shared" si="10"/>
        <v>21.005769230769232</v>
      </c>
      <c r="AL12" s="72"/>
      <c r="AN12" s="19">
        <f t="shared" si="11"/>
        <v>0.90369308705624962</v>
      </c>
      <c r="AO12" s="19">
        <f t="shared" si="12"/>
        <v>4.5075775667624969</v>
      </c>
      <c r="AP12" s="19">
        <f t="shared" si="13"/>
        <v>18.019422398531244</v>
      </c>
      <c r="AQ12" s="19">
        <f t="shared" si="14"/>
        <v>18.019422398531244</v>
      </c>
    </row>
    <row r="13" spans="1:43" x14ac:dyDescent="0.45">
      <c r="A13" s="21">
        <v>1716</v>
      </c>
      <c r="B13" s="40">
        <v>1.1323383259499997</v>
      </c>
      <c r="C13" s="40">
        <v>5.6725794982687487</v>
      </c>
      <c r="D13" s="40">
        <v>22.66854225603749</v>
      </c>
      <c r="E13" s="42">
        <v>22.66854225603749</v>
      </c>
      <c r="F13" s="19" t="s">
        <v>13</v>
      </c>
      <c r="G13" s="19" t="s">
        <v>22</v>
      </c>
      <c r="H13" s="19" t="s">
        <v>47</v>
      </c>
      <c r="J13" s="72"/>
      <c r="L13" s="51">
        <v>1.2833140000000001</v>
      </c>
      <c r="M13" s="52">
        <v>6.4165700000000001</v>
      </c>
      <c r="N13" s="52">
        <v>25.66628</v>
      </c>
      <c r="O13" s="53">
        <v>26.9496</v>
      </c>
      <c r="Q13" s="72"/>
      <c r="S13" s="19">
        <v>1.04</v>
      </c>
      <c r="T13" s="19">
        <v>5.21</v>
      </c>
      <c r="U13" s="19">
        <v>20.82</v>
      </c>
      <c r="V13" s="19">
        <v>20.82</v>
      </c>
      <c r="X13" s="72"/>
      <c r="Z13" s="19">
        <f t="shared" si="3"/>
        <v>0.95555555555555549</v>
      </c>
      <c r="AA13" s="19">
        <f t="shared" si="4"/>
        <v>4.7869658119658123</v>
      </c>
      <c r="AB13" s="19">
        <f t="shared" si="5"/>
        <v>19.129487179487182</v>
      </c>
      <c r="AC13" s="19">
        <f t="shared" si="6"/>
        <v>19.129487179487182</v>
      </c>
      <c r="AE13" s="72"/>
      <c r="AG13" s="19">
        <f t="shared" si="7"/>
        <v>1.32</v>
      </c>
      <c r="AH13" s="19">
        <f t="shared" si="8"/>
        <v>6.6126923076923072</v>
      </c>
      <c r="AI13" s="19">
        <f t="shared" si="9"/>
        <v>26.425384615384615</v>
      </c>
      <c r="AJ13" s="19">
        <f t="shared" si="10"/>
        <v>26.425384615384615</v>
      </c>
      <c r="AL13" s="72"/>
      <c r="AN13" s="19">
        <f t="shared" si="11"/>
        <v>1.1323383259499997</v>
      </c>
      <c r="AO13" s="19">
        <f t="shared" si="12"/>
        <v>5.6725794982687487</v>
      </c>
      <c r="AP13" s="19">
        <f t="shared" si="13"/>
        <v>22.66854225603749</v>
      </c>
      <c r="AQ13" s="19">
        <f t="shared" si="14"/>
        <v>22.66854225603749</v>
      </c>
    </row>
    <row r="14" spans="1:43" x14ac:dyDescent="0.45">
      <c r="A14" s="21">
        <v>1717</v>
      </c>
      <c r="B14" s="40">
        <v>0.97990816668749969</v>
      </c>
      <c r="C14" s="40">
        <v>4.9104287019562474</v>
      </c>
      <c r="D14" s="40">
        <v>19.641714807824989</v>
      </c>
      <c r="E14" s="42">
        <v>19.641714807824989</v>
      </c>
      <c r="F14" s="19" t="s">
        <v>13</v>
      </c>
      <c r="G14" s="19" t="s">
        <v>22</v>
      </c>
      <c r="H14" s="19" t="s">
        <v>48</v>
      </c>
      <c r="J14" s="72"/>
      <c r="L14" s="51">
        <v>1.112087</v>
      </c>
      <c r="M14" s="52">
        <v>5.5604329999999997</v>
      </c>
      <c r="N14" s="52">
        <v>22.24173</v>
      </c>
      <c r="O14" s="53">
        <v>23.353819999999999</v>
      </c>
      <c r="Q14" s="72"/>
      <c r="S14" s="19">
        <v>0.9</v>
      </c>
      <c r="T14" s="19">
        <v>4.51</v>
      </c>
      <c r="U14" s="19">
        <v>18.04</v>
      </c>
      <c r="V14" s="19">
        <v>18.04</v>
      </c>
      <c r="X14" s="72"/>
      <c r="Z14" s="19">
        <f t="shared" si="3"/>
        <v>0.82692307692307687</v>
      </c>
      <c r="AA14" s="19">
        <f t="shared" si="4"/>
        <v>4.1438034188034187</v>
      </c>
      <c r="AB14" s="19">
        <f t="shared" si="5"/>
        <v>16.575213675213675</v>
      </c>
      <c r="AC14" s="19">
        <f t="shared" si="6"/>
        <v>16.575213675213675</v>
      </c>
      <c r="AE14" s="72"/>
      <c r="AG14" s="19">
        <f t="shared" si="7"/>
        <v>1.1423076923076922</v>
      </c>
      <c r="AH14" s="19">
        <f t="shared" si="8"/>
        <v>5.7242307692307692</v>
      </c>
      <c r="AI14" s="19">
        <f t="shared" si="9"/>
        <v>22.896923076923077</v>
      </c>
      <c r="AJ14" s="19">
        <f t="shared" si="10"/>
        <v>22.896923076923077</v>
      </c>
      <c r="AL14" s="72"/>
      <c r="AN14" s="19">
        <f t="shared" si="11"/>
        <v>0.97990816668749969</v>
      </c>
      <c r="AO14" s="19">
        <f t="shared" si="12"/>
        <v>4.9104287019562474</v>
      </c>
      <c r="AP14" s="19">
        <f t="shared" si="13"/>
        <v>19.641714807824989</v>
      </c>
      <c r="AQ14" s="19">
        <f t="shared" si="14"/>
        <v>19.641714807824989</v>
      </c>
    </row>
    <row r="15" spans="1:43" x14ac:dyDescent="0.45">
      <c r="A15" s="21">
        <v>1718</v>
      </c>
      <c r="B15" s="40">
        <v>2.4933218907937493</v>
      </c>
      <c r="C15" s="40">
        <v>12.455721585449997</v>
      </c>
      <c r="D15" s="40">
        <v>49.811998473281221</v>
      </c>
      <c r="E15" s="42">
        <v>49.811998473281221</v>
      </c>
      <c r="F15" s="19" t="s">
        <v>13</v>
      </c>
      <c r="G15" s="19" t="s">
        <v>22</v>
      </c>
      <c r="H15" s="19" t="s">
        <v>49</v>
      </c>
      <c r="J15" s="72"/>
      <c r="L15" s="51">
        <v>2.820125</v>
      </c>
      <c r="M15" s="52">
        <v>14.100630000000001</v>
      </c>
      <c r="N15" s="52">
        <v>56.402500000000003</v>
      </c>
      <c r="O15" s="53">
        <v>59.222630000000002</v>
      </c>
      <c r="Q15" s="72"/>
      <c r="S15" s="19">
        <v>2.29</v>
      </c>
      <c r="T15" s="19">
        <v>11.44</v>
      </c>
      <c r="U15" s="19">
        <v>45.75</v>
      </c>
      <c r="V15" s="19">
        <v>45.75</v>
      </c>
      <c r="X15" s="72"/>
      <c r="Z15" s="19">
        <f t="shared" si="3"/>
        <v>2.1040598290598291</v>
      </c>
      <c r="AA15" s="19">
        <f t="shared" si="4"/>
        <v>10.511111111111111</v>
      </c>
      <c r="AB15" s="19">
        <f t="shared" si="5"/>
        <v>42.035256410256409</v>
      </c>
      <c r="AC15" s="19">
        <f t="shared" si="6"/>
        <v>42.035256410256409</v>
      </c>
      <c r="AE15" s="72"/>
      <c r="AG15" s="19">
        <f t="shared" si="7"/>
        <v>2.9065384615384615</v>
      </c>
      <c r="AH15" s="19">
        <f t="shared" si="8"/>
        <v>14.52</v>
      </c>
      <c r="AI15" s="19">
        <f t="shared" si="9"/>
        <v>58.067307692307693</v>
      </c>
      <c r="AJ15" s="19">
        <f t="shared" si="10"/>
        <v>58.067307692307693</v>
      </c>
      <c r="AL15" s="72"/>
      <c r="AN15" s="19">
        <f t="shared" si="11"/>
        <v>2.4933218907937493</v>
      </c>
      <c r="AO15" s="19">
        <f t="shared" si="12"/>
        <v>12.455721585449997</v>
      </c>
      <c r="AP15" s="19">
        <f t="shared" si="13"/>
        <v>49.811998473281221</v>
      </c>
      <c r="AQ15" s="19">
        <f t="shared" si="14"/>
        <v>49.811998473281221</v>
      </c>
    </row>
    <row r="16" spans="1:43" x14ac:dyDescent="0.45">
      <c r="A16" s="21">
        <v>1719</v>
      </c>
      <c r="B16" s="40">
        <v>0.42462687223124984</v>
      </c>
      <c r="C16" s="40">
        <v>2.1449100981937494</v>
      </c>
      <c r="D16" s="40">
        <v>8.5687525242562455</v>
      </c>
      <c r="E16" s="42">
        <v>8.5687525242562455</v>
      </c>
      <c r="F16" s="19" t="s">
        <v>13</v>
      </c>
      <c r="G16" s="19" t="s">
        <v>22</v>
      </c>
      <c r="H16" s="19" t="s">
        <v>50</v>
      </c>
      <c r="J16" s="72"/>
      <c r="L16" s="51">
        <v>0.48514439999999998</v>
      </c>
      <c r="M16" s="52">
        <v>2.4257219999999999</v>
      </c>
      <c r="N16" s="52">
        <v>9.7028890000000008</v>
      </c>
      <c r="O16" s="53">
        <v>10.188029999999999</v>
      </c>
      <c r="Q16" s="72"/>
      <c r="S16" s="19">
        <v>0.39</v>
      </c>
      <c r="T16" s="19">
        <v>1.97</v>
      </c>
      <c r="U16" s="19">
        <v>7.87</v>
      </c>
      <c r="V16" s="19">
        <v>7.87</v>
      </c>
      <c r="X16" s="72"/>
      <c r="Z16" s="19">
        <f t="shared" si="3"/>
        <v>0.35833333333333339</v>
      </c>
      <c r="AA16" s="19">
        <f t="shared" si="4"/>
        <v>1.8100427350427351</v>
      </c>
      <c r="AB16" s="19">
        <f t="shared" si="5"/>
        <v>7.2309829059829056</v>
      </c>
      <c r="AC16" s="19">
        <f t="shared" si="6"/>
        <v>7.2309829059829056</v>
      </c>
      <c r="AE16" s="72"/>
      <c r="AG16" s="19">
        <f t="shared" si="7"/>
        <v>0.495</v>
      </c>
      <c r="AH16" s="19">
        <f t="shared" si="8"/>
        <v>2.5003846153846156</v>
      </c>
      <c r="AI16" s="19">
        <f t="shared" si="9"/>
        <v>9.9888461538461542</v>
      </c>
      <c r="AJ16" s="19">
        <f t="shared" si="10"/>
        <v>9.9888461538461542</v>
      </c>
      <c r="AL16" s="72"/>
      <c r="AN16" s="19">
        <f t="shared" si="11"/>
        <v>0.42462687223124984</v>
      </c>
      <c r="AO16" s="19">
        <f t="shared" si="12"/>
        <v>2.1449100981937494</v>
      </c>
      <c r="AP16" s="19">
        <f t="shared" si="13"/>
        <v>8.5687525242562455</v>
      </c>
      <c r="AQ16" s="19">
        <f t="shared" si="14"/>
        <v>8.5687525242562455</v>
      </c>
    </row>
    <row r="17" spans="1:43" x14ac:dyDescent="0.45">
      <c r="A17" s="21">
        <v>1752</v>
      </c>
      <c r="B17" s="40">
        <v>12.368618637299996</v>
      </c>
      <c r="C17" s="40">
        <v>61.821317449462484</v>
      </c>
      <c r="D17" s="40">
        <v>247.28526979784994</v>
      </c>
      <c r="E17" s="42">
        <v>247.28526979784994</v>
      </c>
      <c r="F17" s="19" t="s">
        <v>28</v>
      </c>
      <c r="G17" s="19" t="s">
        <v>51</v>
      </c>
      <c r="H17" s="19" t="s">
        <v>30</v>
      </c>
      <c r="J17" s="72"/>
      <c r="L17" s="51">
        <v>13.999180000000001</v>
      </c>
      <c r="M17" s="52">
        <v>69.995909999999995</v>
      </c>
      <c r="N17" s="52">
        <v>279.98360000000002</v>
      </c>
      <c r="O17" s="53">
        <v>293.9828</v>
      </c>
      <c r="Q17" s="72"/>
      <c r="S17" s="19">
        <v>11.36</v>
      </c>
      <c r="T17" s="19">
        <v>56.78</v>
      </c>
      <c r="U17" s="19">
        <v>227.12</v>
      </c>
      <c r="V17" s="19">
        <v>227.12</v>
      </c>
      <c r="X17" s="72"/>
      <c r="Z17" s="19">
        <f t="shared" si="3"/>
        <v>10.437606837606838</v>
      </c>
      <c r="AA17" s="19">
        <f t="shared" si="4"/>
        <v>52.169658119658123</v>
      </c>
      <c r="AB17" s="19">
        <f t="shared" si="5"/>
        <v>208.67863247863249</v>
      </c>
      <c r="AC17" s="19">
        <f t="shared" si="6"/>
        <v>208.67863247863249</v>
      </c>
      <c r="AE17" s="72"/>
      <c r="AG17" s="19">
        <f t="shared" si="7"/>
        <v>14.418461538461537</v>
      </c>
      <c r="AH17" s="19">
        <f t="shared" si="8"/>
        <v>72.066923076923075</v>
      </c>
      <c r="AI17" s="19">
        <f t="shared" si="9"/>
        <v>288.2676923076923</v>
      </c>
      <c r="AJ17" s="19">
        <f t="shared" si="10"/>
        <v>288.2676923076923</v>
      </c>
      <c r="AL17" s="72"/>
      <c r="AN17" s="19">
        <f t="shared" si="11"/>
        <v>12.368618637299996</v>
      </c>
      <c r="AO17" s="19">
        <f t="shared" si="12"/>
        <v>61.821317449462484</v>
      </c>
      <c r="AP17" s="19">
        <f t="shared" si="13"/>
        <v>247.28526979784994</v>
      </c>
      <c r="AQ17" s="19">
        <f t="shared" si="14"/>
        <v>247.28526979784994</v>
      </c>
    </row>
    <row r="18" spans="1:43" x14ac:dyDescent="0.45">
      <c r="A18" s="21">
        <v>1756</v>
      </c>
      <c r="B18" s="40">
        <v>13.196096644724994</v>
      </c>
      <c r="C18" s="40">
        <v>65.980483223624972</v>
      </c>
      <c r="D18" s="40">
        <v>263.92193289449989</v>
      </c>
      <c r="E18" s="42">
        <v>263.92193289449989</v>
      </c>
      <c r="F18" s="19" t="s">
        <v>28</v>
      </c>
      <c r="G18" s="19" t="s">
        <v>29</v>
      </c>
      <c r="H18" s="19" t="s">
        <v>30</v>
      </c>
      <c r="J18" s="72"/>
      <c r="L18" s="51">
        <v>14.94101</v>
      </c>
      <c r="M18" s="52">
        <v>74.705039999999997</v>
      </c>
      <c r="N18" s="52">
        <v>298.82010000000002</v>
      </c>
      <c r="O18" s="53">
        <v>313.7611</v>
      </c>
      <c r="Q18" s="72"/>
      <c r="S18" s="19">
        <v>12.12</v>
      </c>
      <c r="T18" s="19">
        <v>60.6</v>
      </c>
      <c r="U18" s="19">
        <v>242.4</v>
      </c>
      <c r="V18" s="19">
        <v>242.4</v>
      </c>
      <c r="X18" s="72"/>
      <c r="Z18" s="19">
        <f t="shared" si="3"/>
        <v>11.135897435897435</v>
      </c>
      <c r="AA18" s="19">
        <f t="shared" si="4"/>
        <v>55.679487179487182</v>
      </c>
      <c r="AB18" s="19">
        <f t="shared" si="5"/>
        <v>222.71794871794873</v>
      </c>
      <c r="AC18" s="19">
        <f t="shared" si="6"/>
        <v>222.71794871794873</v>
      </c>
      <c r="AE18" s="72"/>
      <c r="AG18" s="19">
        <f t="shared" si="7"/>
        <v>15.383076923076922</v>
      </c>
      <c r="AH18" s="19">
        <f t="shared" si="8"/>
        <v>76.915384615384625</v>
      </c>
      <c r="AI18" s="19">
        <f t="shared" si="9"/>
        <v>307.6615384615385</v>
      </c>
      <c r="AJ18" s="19">
        <f t="shared" si="10"/>
        <v>307.6615384615385</v>
      </c>
      <c r="AL18" s="72"/>
      <c r="AN18" s="19">
        <f t="shared" si="11"/>
        <v>13.196096644724994</v>
      </c>
      <c r="AO18" s="19">
        <f t="shared" si="12"/>
        <v>65.980483223624972</v>
      </c>
      <c r="AP18" s="19">
        <f t="shared" si="13"/>
        <v>263.92193289449989</v>
      </c>
      <c r="AQ18" s="19">
        <f t="shared" si="14"/>
        <v>263.92193289449989</v>
      </c>
    </row>
    <row r="19" spans="1:43" x14ac:dyDescent="0.45">
      <c r="A19" s="21">
        <v>1769</v>
      </c>
      <c r="B19" s="40">
        <v>13.065442222499994</v>
      </c>
      <c r="C19" s="40">
        <v>45.72904777874998</v>
      </c>
      <c r="D19" s="40">
        <v>130.66531009351871</v>
      </c>
      <c r="E19" s="42">
        <v>130.66531009351871</v>
      </c>
      <c r="F19" s="19" t="s">
        <v>28</v>
      </c>
      <c r="G19" s="19" t="s">
        <v>31</v>
      </c>
      <c r="H19" s="19" t="s">
        <v>32</v>
      </c>
      <c r="J19" s="72"/>
      <c r="L19" s="51">
        <v>14.794269999999999</v>
      </c>
      <c r="M19" s="52">
        <v>51.779940000000003</v>
      </c>
      <c r="N19" s="52">
        <v>147.9427</v>
      </c>
      <c r="O19" s="53">
        <v>155.3398</v>
      </c>
      <c r="Q19" s="72"/>
      <c r="S19" s="19">
        <v>12</v>
      </c>
      <c r="T19" s="19">
        <v>42</v>
      </c>
      <c r="U19" s="19">
        <v>120.01</v>
      </c>
      <c r="V19" s="19">
        <v>120.01</v>
      </c>
      <c r="X19" s="72"/>
      <c r="Z19" s="19">
        <f t="shared" si="3"/>
        <v>11.025641025641026</v>
      </c>
      <c r="AA19" s="19">
        <f t="shared" si="4"/>
        <v>38.589743589743591</v>
      </c>
      <c r="AB19" s="19">
        <f t="shared" si="5"/>
        <v>110.26559829059829</v>
      </c>
      <c r="AC19" s="19">
        <f t="shared" si="6"/>
        <v>110.26559829059829</v>
      </c>
      <c r="AE19" s="72"/>
      <c r="AG19" s="19">
        <f t="shared" si="7"/>
        <v>15.23076923076923</v>
      </c>
      <c r="AH19" s="19">
        <f t="shared" si="8"/>
        <v>53.307692307692307</v>
      </c>
      <c r="AI19" s="19">
        <f t="shared" si="9"/>
        <v>152.32038461538463</v>
      </c>
      <c r="AJ19" s="19">
        <f t="shared" si="10"/>
        <v>152.32038461538463</v>
      </c>
      <c r="AL19" s="72"/>
      <c r="AN19" s="19">
        <f t="shared" si="11"/>
        <v>13.065442222499994</v>
      </c>
      <c r="AO19" s="19">
        <f t="shared" si="12"/>
        <v>45.72904777874998</v>
      </c>
      <c r="AP19" s="19">
        <f t="shared" si="13"/>
        <v>130.66531009351871</v>
      </c>
      <c r="AQ19" s="19">
        <f t="shared" si="14"/>
        <v>130.66531009351871</v>
      </c>
    </row>
    <row r="20" spans="1:43" x14ac:dyDescent="0.45">
      <c r="A20" s="21">
        <v>1770</v>
      </c>
      <c r="B20" s="40">
        <v>6.6960391390312477</v>
      </c>
      <c r="C20" s="40">
        <v>20.088117417093741</v>
      </c>
      <c r="D20" s="40">
        <v>70.379182105199959</v>
      </c>
      <c r="E20" s="42">
        <v>70.379182105199959</v>
      </c>
      <c r="F20" s="19" t="s">
        <v>28</v>
      </c>
      <c r="G20" s="19" t="s">
        <v>31</v>
      </c>
      <c r="H20" s="19" t="s">
        <v>33</v>
      </c>
      <c r="J20" s="72"/>
      <c r="L20" s="51">
        <v>7.5803820000000002</v>
      </c>
      <c r="M20" s="52">
        <v>22.741150000000001</v>
      </c>
      <c r="N20" s="52">
        <v>79.68356</v>
      </c>
      <c r="O20" s="53">
        <v>83.667739999999995</v>
      </c>
      <c r="Q20" s="72"/>
      <c r="S20" s="19">
        <v>6.15</v>
      </c>
      <c r="T20" s="19">
        <v>18.45</v>
      </c>
      <c r="U20" s="19">
        <v>64.64</v>
      </c>
      <c r="V20" s="19">
        <v>64.64</v>
      </c>
      <c r="X20" s="72"/>
      <c r="Z20" s="19">
        <f t="shared" si="3"/>
        <v>5.6506410256410255</v>
      </c>
      <c r="AA20" s="19">
        <f t="shared" si="4"/>
        <v>16.951923076923077</v>
      </c>
      <c r="AB20" s="19">
        <f t="shared" si="5"/>
        <v>59.391452991452994</v>
      </c>
      <c r="AC20" s="19">
        <f t="shared" si="6"/>
        <v>59.391452991452994</v>
      </c>
      <c r="AE20" s="72"/>
      <c r="AG20" s="19">
        <f t="shared" si="7"/>
        <v>7.8057692307692319</v>
      </c>
      <c r="AH20" s="19">
        <f t="shared" si="8"/>
        <v>23.417307692307691</v>
      </c>
      <c r="AI20" s="19">
        <f t="shared" si="9"/>
        <v>82.043076923076924</v>
      </c>
      <c r="AJ20" s="19">
        <f t="shared" si="10"/>
        <v>82.043076923076924</v>
      </c>
      <c r="AL20" s="72"/>
      <c r="AN20" s="19">
        <f t="shared" si="11"/>
        <v>6.6960391390312477</v>
      </c>
      <c r="AO20" s="19">
        <f t="shared" si="12"/>
        <v>20.088117417093741</v>
      </c>
      <c r="AP20" s="19">
        <f t="shared" si="13"/>
        <v>70.379182105199959</v>
      </c>
      <c r="AQ20" s="19">
        <f t="shared" si="14"/>
        <v>70.379182105199959</v>
      </c>
    </row>
    <row r="21" spans="1:43" x14ac:dyDescent="0.45">
      <c r="A21" s="21">
        <v>1771</v>
      </c>
      <c r="B21" s="40">
        <v>16.005166722562493</v>
      </c>
      <c r="C21" s="40">
        <v>48.004612299168741</v>
      </c>
      <c r="D21" s="40">
        <v>160.00811575154995</v>
      </c>
      <c r="E21" s="42">
        <v>160.00811575154995</v>
      </c>
      <c r="F21" s="19" t="s">
        <v>28</v>
      </c>
      <c r="G21" s="19" t="s">
        <v>31</v>
      </c>
      <c r="H21" s="19" t="s">
        <v>34</v>
      </c>
      <c r="J21" s="72"/>
      <c r="L21" s="51">
        <v>18.116219999999998</v>
      </c>
      <c r="M21" s="52">
        <v>54.348660000000002</v>
      </c>
      <c r="N21" s="52">
        <v>181.16220000000001</v>
      </c>
      <c r="O21" s="53">
        <v>190.22030000000001</v>
      </c>
      <c r="Q21" s="72"/>
      <c r="S21" s="19">
        <v>14.7</v>
      </c>
      <c r="T21" s="19">
        <v>44.09</v>
      </c>
      <c r="U21" s="19">
        <v>146.96</v>
      </c>
      <c r="V21" s="19">
        <v>146.96</v>
      </c>
      <c r="X21" s="72"/>
      <c r="Z21" s="19">
        <f t="shared" si="3"/>
        <v>13.506410256410257</v>
      </c>
      <c r="AA21" s="19">
        <f t="shared" si="4"/>
        <v>40.510042735042738</v>
      </c>
      <c r="AB21" s="19">
        <f t="shared" si="5"/>
        <v>135.02735042735043</v>
      </c>
      <c r="AC21" s="19">
        <f t="shared" si="6"/>
        <v>135.02735042735043</v>
      </c>
      <c r="AE21" s="72"/>
      <c r="AG21" s="19">
        <f t="shared" si="7"/>
        <v>18.657692307692304</v>
      </c>
      <c r="AH21" s="19">
        <f t="shared" si="8"/>
        <v>55.960384615384619</v>
      </c>
      <c r="AI21" s="19">
        <f t="shared" si="9"/>
        <v>186.52615384615385</v>
      </c>
      <c r="AJ21" s="19">
        <f t="shared" si="10"/>
        <v>186.52615384615385</v>
      </c>
      <c r="AL21" s="72"/>
      <c r="AN21" s="19">
        <f t="shared" si="11"/>
        <v>16.005166722562493</v>
      </c>
      <c r="AO21" s="19">
        <f t="shared" si="12"/>
        <v>48.004612299168741</v>
      </c>
      <c r="AP21" s="19">
        <f t="shared" si="13"/>
        <v>160.00811575154995</v>
      </c>
      <c r="AQ21" s="19">
        <f t="shared" si="14"/>
        <v>160.00811575154995</v>
      </c>
    </row>
    <row r="22" spans="1:43" ht="14.65" thickBot="1" x14ac:dyDescent="0.5">
      <c r="A22" s="21">
        <v>1773</v>
      </c>
      <c r="B22" s="40">
        <v>5.3786070482624986</v>
      </c>
      <c r="C22" s="40">
        <v>16.135821144787496</v>
      </c>
      <c r="D22" s="40">
        <v>107.58302883376872</v>
      </c>
      <c r="E22" s="42">
        <v>107.58302883376872</v>
      </c>
      <c r="F22" s="19" t="s">
        <v>28</v>
      </c>
      <c r="G22" s="19" t="s">
        <v>52</v>
      </c>
      <c r="H22" s="19" t="s">
        <v>53</v>
      </c>
      <c r="J22" s="73"/>
      <c r="L22" s="51">
        <v>6.0902419999999999</v>
      </c>
      <c r="M22" s="52">
        <v>18.27073</v>
      </c>
      <c r="N22" s="52">
        <v>121.8048</v>
      </c>
      <c r="O22" s="53">
        <v>127.8951</v>
      </c>
      <c r="Q22" s="73"/>
      <c r="S22" s="19">
        <v>4.9400000000000004</v>
      </c>
      <c r="T22" s="19">
        <v>14.82</v>
      </c>
      <c r="U22" s="19">
        <v>98.81</v>
      </c>
      <c r="V22" s="19">
        <v>98.81</v>
      </c>
      <c r="X22" s="73"/>
      <c r="Z22" s="19">
        <f t="shared" si="3"/>
        <v>4.5388888888888896</v>
      </c>
      <c r="AA22" s="19">
        <f t="shared" si="4"/>
        <v>13.616666666666667</v>
      </c>
      <c r="AB22" s="19">
        <f t="shared" si="5"/>
        <v>90.786965811965814</v>
      </c>
      <c r="AC22" s="19">
        <f t="shared" si="6"/>
        <v>90.786965811965814</v>
      </c>
      <c r="AE22" s="73"/>
      <c r="AG22" s="19">
        <f t="shared" si="7"/>
        <v>6.2700000000000005</v>
      </c>
      <c r="AH22" s="19">
        <f t="shared" si="8"/>
        <v>18.809999999999999</v>
      </c>
      <c r="AI22" s="19">
        <f t="shared" si="9"/>
        <v>125.41269230769231</v>
      </c>
      <c r="AJ22" s="19">
        <f t="shared" si="10"/>
        <v>125.41269230769231</v>
      </c>
      <c r="AL22" s="73"/>
      <c r="AN22" s="19">
        <f t="shared" si="11"/>
        <v>5.3786070482624986</v>
      </c>
      <c r="AO22" s="19">
        <f t="shared" si="12"/>
        <v>16.135821144787496</v>
      </c>
      <c r="AP22" s="19">
        <f t="shared" si="13"/>
        <v>107.58302883376872</v>
      </c>
      <c r="AQ22" s="19">
        <f t="shared" si="14"/>
        <v>107.58302883376872</v>
      </c>
    </row>
    <row r="23" spans="1:43" x14ac:dyDescent="0.45">
      <c r="A23" s="21">
        <v>1774</v>
      </c>
      <c r="B23" s="40">
        <v>2.0578071500437489</v>
      </c>
      <c r="C23" s="40">
        <v>10.310811487256247</v>
      </c>
      <c r="D23" s="40">
        <v>41.254133817543739</v>
      </c>
      <c r="E23" s="42">
        <v>41.254133817543739</v>
      </c>
      <c r="F23" s="19" t="s">
        <v>28</v>
      </c>
      <c r="G23" s="19" t="s">
        <v>52</v>
      </c>
      <c r="H23" s="19" t="s">
        <v>54</v>
      </c>
      <c r="L23" s="51">
        <v>2.3357610000000002</v>
      </c>
      <c r="M23" s="52">
        <v>11.678800000000001</v>
      </c>
      <c r="N23" s="52">
        <v>46.715220000000002</v>
      </c>
      <c r="O23" s="53">
        <v>49.050980000000003</v>
      </c>
      <c r="S23" s="19">
        <v>1.89</v>
      </c>
      <c r="T23" s="19">
        <v>9.4700000000000006</v>
      </c>
      <c r="U23" s="19">
        <v>37.89</v>
      </c>
      <c r="V23" s="19">
        <v>37.89</v>
      </c>
      <c r="Z23" s="19">
        <f t="shared" si="3"/>
        <v>1.7365384615384614</v>
      </c>
      <c r="AA23" s="19">
        <f t="shared" si="4"/>
        <v>8.7010683760683776</v>
      </c>
      <c r="AB23" s="19">
        <f t="shared" si="5"/>
        <v>34.813461538461539</v>
      </c>
      <c r="AC23" s="19">
        <f t="shared" si="6"/>
        <v>34.813461538461539</v>
      </c>
      <c r="AG23" s="19">
        <f t="shared" si="7"/>
        <v>2.3988461538461534</v>
      </c>
      <c r="AH23" s="19">
        <f t="shared" si="8"/>
        <v>12.019615384615385</v>
      </c>
      <c r="AI23" s="19">
        <f t="shared" si="9"/>
        <v>48.091153846153844</v>
      </c>
      <c r="AJ23" s="19">
        <f t="shared" si="10"/>
        <v>48.091153846153844</v>
      </c>
      <c r="AN23" s="19">
        <f t="shared" si="11"/>
        <v>2.0578071500437489</v>
      </c>
      <c r="AO23" s="19">
        <f t="shared" si="12"/>
        <v>10.310811487256247</v>
      </c>
      <c r="AP23" s="19">
        <f t="shared" si="13"/>
        <v>41.254133817543739</v>
      </c>
      <c r="AQ23" s="19">
        <f t="shared" si="14"/>
        <v>41.254133817543739</v>
      </c>
    </row>
    <row r="24" spans="1:43" x14ac:dyDescent="0.45">
      <c r="A24" s="21">
        <v>1775</v>
      </c>
      <c r="B24" s="40">
        <v>2.4715461537562486</v>
      </c>
      <c r="C24" s="40">
        <v>7.4146384612687468</v>
      </c>
      <c r="D24" s="40">
        <v>49.43092307512498</v>
      </c>
      <c r="E24" s="42">
        <v>49.43092307512498</v>
      </c>
      <c r="F24" s="19" t="s">
        <v>28</v>
      </c>
      <c r="G24" s="19" t="s">
        <v>52</v>
      </c>
      <c r="H24" s="19" t="s">
        <v>55</v>
      </c>
      <c r="L24" s="51">
        <v>2.798127</v>
      </c>
      <c r="M24" s="52">
        <v>8.3943809999999992</v>
      </c>
      <c r="N24" s="52">
        <v>55.962539999999997</v>
      </c>
      <c r="O24" s="53">
        <v>58.760669999999998</v>
      </c>
      <c r="S24" s="19">
        <v>2.27</v>
      </c>
      <c r="T24" s="19">
        <v>6.81</v>
      </c>
      <c r="U24" s="19">
        <v>45.4</v>
      </c>
      <c r="V24" s="19">
        <v>45.4</v>
      </c>
      <c r="Z24" s="19">
        <f t="shared" si="3"/>
        <v>2.0856837606837608</v>
      </c>
      <c r="AA24" s="19">
        <f t="shared" si="4"/>
        <v>6.2570512820512816</v>
      </c>
      <c r="AB24" s="19">
        <f t="shared" si="5"/>
        <v>41.713675213675216</v>
      </c>
      <c r="AC24" s="19">
        <f t="shared" si="6"/>
        <v>41.713675213675216</v>
      </c>
      <c r="AG24" s="19">
        <f t="shared" si="7"/>
        <v>2.8811538461538464</v>
      </c>
      <c r="AH24" s="19">
        <f t="shared" si="8"/>
        <v>8.6434615384615388</v>
      </c>
      <c r="AI24" s="19">
        <f t="shared" si="9"/>
        <v>57.623076923076923</v>
      </c>
      <c r="AJ24" s="19">
        <f t="shared" si="10"/>
        <v>57.623076923076923</v>
      </c>
      <c r="AN24" s="19">
        <f t="shared" si="11"/>
        <v>2.4715461537562486</v>
      </c>
      <c r="AO24" s="19">
        <f t="shared" si="12"/>
        <v>7.4146384612687468</v>
      </c>
      <c r="AP24" s="19">
        <f t="shared" si="13"/>
        <v>49.43092307512498</v>
      </c>
      <c r="AQ24" s="19">
        <f t="shared" si="14"/>
        <v>49.43092307512498</v>
      </c>
    </row>
    <row r="25" spans="1:43" x14ac:dyDescent="0.45">
      <c r="A25" s="21">
        <v>1786</v>
      </c>
      <c r="B25" s="40">
        <v>1.0778989833562498</v>
      </c>
      <c r="C25" s="40">
        <v>5.367719179743748</v>
      </c>
      <c r="D25" s="40">
        <v>21.481764587493739</v>
      </c>
      <c r="E25" s="42">
        <v>21.481764587493739</v>
      </c>
      <c r="F25" s="19" t="s">
        <v>28</v>
      </c>
      <c r="G25" s="19" t="s">
        <v>56</v>
      </c>
      <c r="H25" s="19" t="s">
        <v>54</v>
      </c>
      <c r="L25" s="51">
        <v>1.2159819999999999</v>
      </c>
      <c r="M25" s="52">
        <v>6.0799120000000002</v>
      </c>
      <c r="N25" s="52">
        <v>24.319649999999999</v>
      </c>
      <c r="O25" s="53">
        <v>25.535630000000001</v>
      </c>
      <c r="S25" s="19">
        <v>0.99</v>
      </c>
      <c r="T25" s="19">
        <v>4.93</v>
      </c>
      <c r="U25" s="19">
        <v>19.73</v>
      </c>
      <c r="V25" s="19">
        <v>19.73</v>
      </c>
      <c r="Z25" s="19">
        <f t="shared" si="3"/>
        <v>0.9096153846153846</v>
      </c>
      <c r="AA25" s="19">
        <f t="shared" si="4"/>
        <v>4.529700854700855</v>
      </c>
      <c r="AB25" s="19">
        <f t="shared" si="5"/>
        <v>18.127991452991452</v>
      </c>
      <c r="AC25" s="19">
        <f t="shared" si="6"/>
        <v>18.127991452991452</v>
      </c>
      <c r="AG25" s="19">
        <f t="shared" si="7"/>
        <v>1.2565384615384614</v>
      </c>
      <c r="AH25" s="19">
        <f t="shared" si="8"/>
        <v>6.2573076923076911</v>
      </c>
      <c r="AI25" s="19">
        <f t="shared" si="9"/>
        <v>25.04192307692308</v>
      </c>
      <c r="AJ25" s="19">
        <f t="shared" si="10"/>
        <v>25.04192307692308</v>
      </c>
      <c r="AN25" s="19">
        <f t="shared" si="11"/>
        <v>1.0778989833562498</v>
      </c>
      <c r="AO25" s="19">
        <f t="shared" si="12"/>
        <v>5.367719179743748</v>
      </c>
      <c r="AP25" s="19">
        <f t="shared" si="13"/>
        <v>21.481764587493739</v>
      </c>
      <c r="AQ25" s="19">
        <f t="shared" si="14"/>
        <v>21.481764587493739</v>
      </c>
    </row>
    <row r="26" spans="1:43" x14ac:dyDescent="0.45">
      <c r="A26" s="21">
        <v>1787</v>
      </c>
      <c r="B26" s="40">
        <v>1.3065442222499994</v>
      </c>
      <c r="C26" s="40">
        <v>6.5544968482874975</v>
      </c>
      <c r="D26" s="40">
        <v>26.196211656112492</v>
      </c>
      <c r="E26" s="42">
        <v>26.196211656112492</v>
      </c>
      <c r="F26" s="19" t="s">
        <v>28</v>
      </c>
      <c r="G26" s="19" t="s">
        <v>56</v>
      </c>
      <c r="H26" s="19" t="s">
        <v>57</v>
      </c>
      <c r="L26" s="51">
        <v>1.483079</v>
      </c>
      <c r="M26" s="52">
        <v>7.4153969999999996</v>
      </c>
      <c r="N26" s="52">
        <v>29.66159</v>
      </c>
      <c r="O26" s="53">
        <v>31.144670000000001</v>
      </c>
      <c r="S26" s="19">
        <v>1.2</v>
      </c>
      <c r="T26" s="19">
        <v>6.02</v>
      </c>
      <c r="U26" s="19">
        <v>24.06</v>
      </c>
      <c r="V26" s="19">
        <v>24.06</v>
      </c>
      <c r="Z26" s="19">
        <f t="shared" si="3"/>
        <v>1.1025641025641026</v>
      </c>
      <c r="AA26" s="19">
        <f t="shared" si="4"/>
        <v>5.5311965811965811</v>
      </c>
      <c r="AB26" s="19">
        <f t="shared" si="5"/>
        <v>22.106410256410253</v>
      </c>
      <c r="AC26" s="19">
        <f t="shared" si="6"/>
        <v>22.106410256410253</v>
      </c>
      <c r="AG26" s="19">
        <f t="shared" si="7"/>
        <v>1.523076923076923</v>
      </c>
      <c r="AH26" s="19">
        <f t="shared" si="8"/>
        <v>7.6407692307692301</v>
      </c>
      <c r="AI26" s="19">
        <f t="shared" si="9"/>
        <v>30.537692307692307</v>
      </c>
      <c r="AJ26" s="19">
        <f t="shared" si="10"/>
        <v>30.537692307692307</v>
      </c>
      <c r="AN26" s="19">
        <f t="shared" si="11"/>
        <v>1.3065442222499994</v>
      </c>
      <c r="AO26" s="19">
        <f t="shared" si="12"/>
        <v>6.5544968482874975</v>
      </c>
      <c r="AP26" s="19">
        <f t="shared" si="13"/>
        <v>26.196211656112492</v>
      </c>
      <c r="AQ26" s="19">
        <f t="shared" si="14"/>
        <v>26.196211656112492</v>
      </c>
    </row>
    <row r="27" spans="1:43" x14ac:dyDescent="0.45">
      <c r="A27" s="21">
        <v>1788</v>
      </c>
      <c r="B27" s="40">
        <v>1.5678530666999992</v>
      </c>
      <c r="C27" s="40">
        <v>7.828377464981247</v>
      </c>
      <c r="D27" s="40">
        <v>31.302621991406237</v>
      </c>
      <c r="E27" s="42">
        <v>31.302621991406237</v>
      </c>
      <c r="F27" s="19" t="s">
        <v>28</v>
      </c>
      <c r="G27" s="19" t="s">
        <v>56</v>
      </c>
      <c r="H27" s="19" t="s">
        <v>58</v>
      </c>
      <c r="L27" s="51">
        <v>1.7720260000000001</v>
      </c>
      <c r="M27" s="52">
        <v>8.8601290000000006</v>
      </c>
      <c r="N27" s="52">
        <v>35.440519999999999</v>
      </c>
      <c r="O27" s="53">
        <v>37.212539999999997</v>
      </c>
      <c r="S27" s="19">
        <v>1.44</v>
      </c>
      <c r="T27" s="19">
        <v>7.19</v>
      </c>
      <c r="U27" s="19">
        <v>28.75</v>
      </c>
      <c r="V27" s="19">
        <v>28.75</v>
      </c>
      <c r="Z27" s="19">
        <f t="shared" si="3"/>
        <v>1.323076923076923</v>
      </c>
      <c r="AA27" s="19">
        <f t="shared" si="4"/>
        <v>6.6061965811965822</v>
      </c>
      <c r="AB27" s="19">
        <f t="shared" si="5"/>
        <v>26.41559829059829</v>
      </c>
      <c r="AC27" s="19">
        <f t="shared" si="6"/>
        <v>26.41559829059829</v>
      </c>
      <c r="AG27" s="19">
        <f t="shared" si="7"/>
        <v>1.8276923076923077</v>
      </c>
      <c r="AH27" s="19">
        <f t="shared" si="8"/>
        <v>9.1257692307692313</v>
      </c>
      <c r="AI27" s="19">
        <f t="shared" si="9"/>
        <v>36.490384615384613</v>
      </c>
      <c r="AJ27" s="19">
        <f t="shared" si="10"/>
        <v>36.490384615384613</v>
      </c>
      <c r="AN27" s="19">
        <f t="shared" si="11"/>
        <v>1.5678530666999992</v>
      </c>
      <c r="AO27" s="19">
        <f t="shared" si="12"/>
        <v>7.828377464981247</v>
      </c>
      <c r="AP27" s="19">
        <f t="shared" si="13"/>
        <v>31.302621991406237</v>
      </c>
      <c r="AQ27" s="19">
        <f t="shared" si="14"/>
        <v>31.302621991406237</v>
      </c>
    </row>
    <row r="28" spans="1:43" x14ac:dyDescent="0.45">
      <c r="A28" s="21">
        <v>1792</v>
      </c>
      <c r="B28" s="40">
        <v>0.40285113519374988</v>
      </c>
      <c r="C28" s="40">
        <v>1.6222924092937496</v>
      </c>
      <c r="D28" s="40">
        <v>8.6340797353687453</v>
      </c>
      <c r="E28" s="42">
        <v>8.6340797353687453</v>
      </c>
      <c r="F28" s="19" t="s">
        <v>28</v>
      </c>
      <c r="G28" s="19" t="s">
        <v>59</v>
      </c>
      <c r="H28" s="19" t="s">
        <v>60</v>
      </c>
      <c r="L28" s="51">
        <v>0.4581634</v>
      </c>
      <c r="M28" s="52">
        <v>1.8326530000000001</v>
      </c>
      <c r="N28" s="52">
        <v>9.7772059999999996</v>
      </c>
      <c r="O28" s="53">
        <v>10.266069999999999</v>
      </c>
      <c r="S28" s="19">
        <v>0.37</v>
      </c>
      <c r="T28" s="19">
        <v>1.49</v>
      </c>
      <c r="U28" s="19">
        <v>7.93</v>
      </c>
      <c r="V28" s="19">
        <v>7.93</v>
      </c>
      <c r="Z28" s="19">
        <f t="shared" si="3"/>
        <v>0.33995726495726497</v>
      </c>
      <c r="AA28" s="19">
        <f t="shared" si="4"/>
        <v>1.369017094017094</v>
      </c>
      <c r="AB28" s="19">
        <f t="shared" si="5"/>
        <v>7.2861111111111114</v>
      </c>
      <c r="AC28" s="19">
        <f t="shared" si="6"/>
        <v>7.2861111111111114</v>
      </c>
      <c r="AG28" s="19">
        <f t="shared" si="7"/>
        <v>0.4696153846153846</v>
      </c>
      <c r="AH28" s="19">
        <f t="shared" si="8"/>
        <v>1.891153846153846</v>
      </c>
      <c r="AI28" s="19">
        <f t="shared" si="9"/>
        <v>10.065</v>
      </c>
      <c r="AJ28" s="19">
        <f t="shared" si="10"/>
        <v>10.065</v>
      </c>
      <c r="AN28" s="19">
        <f t="shared" si="11"/>
        <v>0.40285113519374988</v>
      </c>
      <c r="AO28" s="19">
        <f t="shared" si="12"/>
        <v>1.6222924092937496</v>
      </c>
      <c r="AP28" s="19">
        <f t="shared" si="13"/>
        <v>8.6340797353687453</v>
      </c>
      <c r="AQ28" s="19">
        <f t="shared" si="14"/>
        <v>8.6340797353687453</v>
      </c>
    </row>
    <row r="29" spans="1:43" x14ac:dyDescent="0.45">
      <c r="A29" s="21">
        <v>1793</v>
      </c>
      <c r="B29" s="40">
        <v>1.6331802778124993</v>
      </c>
      <c r="C29" s="40">
        <v>7.0880024057062467</v>
      </c>
      <c r="D29" s="40">
        <v>23.789992713468742</v>
      </c>
      <c r="E29" s="42">
        <v>23.789992713468742</v>
      </c>
      <c r="F29" s="19" t="s">
        <v>28</v>
      </c>
      <c r="G29" s="19" t="s">
        <v>59</v>
      </c>
      <c r="H29" s="19" t="s">
        <v>61</v>
      </c>
      <c r="L29" s="51">
        <v>1.851424</v>
      </c>
      <c r="M29" s="52">
        <v>8.0228389999999994</v>
      </c>
      <c r="N29" s="52">
        <v>26.938220000000001</v>
      </c>
      <c r="O29" s="53">
        <v>28.285139999999998</v>
      </c>
      <c r="S29" s="19">
        <v>1.5</v>
      </c>
      <c r="T29" s="19">
        <v>6.51</v>
      </c>
      <c r="U29" s="19">
        <v>21.85</v>
      </c>
      <c r="V29" s="19">
        <v>21.85</v>
      </c>
      <c r="Z29" s="19">
        <f t="shared" si="3"/>
        <v>1.3782051282051282</v>
      </c>
      <c r="AA29" s="19">
        <f t="shared" si="4"/>
        <v>5.981410256410256</v>
      </c>
      <c r="AB29" s="19">
        <f t="shared" si="5"/>
        <v>20.075854700854702</v>
      </c>
      <c r="AC29" s="19">
        <f t="shared" si="6"/>
        <v>20.075854700854702</v>
      </c>
      <c r="AG29" s="19">
        <f t="shared" si="7"/>
        <v>1.9038461538461537</v>
      </c>
      <c r="AH29" s="19">
        <f t="shared" si="8"/>
        <v>8.2626923076923084</v>
      </c>
      <c r="AI29" s="19">
        <f t="shared" si="9"/>
        <v>27.732692307692311</v>
      </c>
      <c r="AJ29" s="19">
        <f t="shared" si="10"/>
        <v>27.732692307692311</v>
      </c>
      <c r="AN29" s="19">
        <f t="shared" si="11"/>
        <v>1.6331802778124993</v>
      </c>
      <c r="AO29" s="19">
        <f t="shared" si="12"/>
        <v>7.0880024057062467</v>
      </c>
      <c r="AP29" s="19">
        <f t="shared" si="13"/>
        <v>23.789992713468742</v>
      </c>
      <c r="AQ29" s="19">
        <f t="shared" si="14"/>
        <v>23.789992713468742</v>
      </c>
    </row>
    <row r="30" spans="1:43" x14ac:dyDescent="0.45">
      <c r="A30" s="21">
        <v>1808</v>
      </c>
      <c r="B30" s="40">
        <v>4.3551474074999987</v>
      </c>
      <c r="C30" s="40">
        <v>15.221240189212494</v>
      </c>
      <c r="D30" s="40">
        <v>43.497034732406235</v>
      </c>
      <c r="E30" s="42">
        <v>43.497034732406235</v>
      </c>
      <c r="F30" s="19" t="s">
        <v>37</v>
      </c>
      <c r="G30" s="19" t="s">
        <v>36</v>
      </c>
      <c r="H30" s="19" t="s">
        <v>62</v>
      </c>
      <c r="L30" s="51">
        <v>4.9251300000000002</v>
      </c>
      <c r="M30" s="52">
        <v>17.237960000000001</v>
      </c>
      <c r="N30" s="52">
        <v>49.251300000000001</v>
      </c>
      <c r="O30" s="53">
        <v>51.71387</v>
      </c>
      <c r="S30" s="19">
        <v>4</v>
      </c>
      <c r="T30" s="19">
        <v>13.98</v>
      </c>
      <c r="U30" s="19">
        <v>39.950000000000003</v>
      </c>
      <c r="V30" s="19">
        <v>39.950000000000003</v>
      </c>
      <c r="Z30" s="19">
        <f t="shared" si="3"/>
        <v>3.675213675213675</v>
      </c>
      <c r="AA30" s="19">
        <f t="shared" si="4"/>
        <v>12.844871794871796</v>
      </c>
      <c r="AB30" s="19">
        <f t="shared" si="5"/>
        <v>36.706196581196579</v>
      </c>
      <c r="AC30" s="19">
        <f t="shared" si="6"/>
        <v>36.706196581196579</v>
      </c>
      <c r="AG30" s="19">
        <f t="shared" si="7"/>
        <v>5.0769230769230766</v>
      </c>
      <c r="AH30" s="19">
        <f t="shared" si="8"/>
        <v>17.743846153846157</v>
      </c>
      <c r="AI30" s="19">
        <f t="shared" si="9"/>
        <v>50.705769230769235</v>
      </c>
      <c r="AJ30" s="19">
        <f t="shared" si="10"/>
        <v>50.705769230769235</v>
      </c>
      <c r="AN30" s="19">
        <f t="shared" si="11"/>
        <v>4.3551474074999987</v>
      </c>
      <c r="AO30" s="19">
        <f t="shared" si="12"/>
        <v>15.221240189212494</v>
      </c>
      <c r="AP30" s="19">
        <f t="shared" si="13"/>
        <v>43.497034732406235</v>
      </c>
      <c r="AQ30" s="19">
        <f t="shared" si="14"/>
        <v>43.497034732406235</v>
      </c>
    </row>
    <row r="31" spans="1:43" x14ac:dyDescent="0.45">
      <c r="A31" s="21">
        <v>1809</v>
      </c>
      <c r="B31" s="40">
        <v>4.5620169093562488</v>
      </c>
      <c r="C31" s="40">
        <v>13.686050728068746</v>
      </c>
      <c r="D31" s="40">
        <v>45.620169093562481</v>
      </c>
      <c r="E31" s="42">
        <v>45.620169093562481</v>
      </c>
      <c r="F31" s="19" t="s">
        <v>37</v>
      </c>
      <c r="G31" s="19" t="s">
        <v>36</v>
      </c>
      <c r="H31" s="19" t="s">
        <v>63</v>
      </c>
      <c r="L31" s="51">
        <v>5.1652500000000003</v>
      </c>
      <c r="M31" s="52">
        <v>15.495749999999999</v>
      </c>
      <c r="N31" s="52">
        <v>51.652500000000003</v>
      </c>
      <c r="O31" s="53">
        <v>54.235120000000002</v>
      </c>
      <c r="S31" s="19">
        <v>4.1900000000000004</v>
      </c>
      <c r="T31" s="19">
        <v>12.57</v>
      </c>
      <c r="U31" s="19">
        <v>41.9</v>
      </c>
      <c r="V31" s="19">
        <v>41.9</v>
      </c>
      <c r="Z31" s="19">
        <f t="shared" si="3"/>
        <v>3.8497863247863253</v>
      </c>
      <c r="AA31" s="19">
        <f t="shared" si="4"/>
        <v>11.549358974358976</v>
      </c>
      <c r="AB31" s="19">
        <f t="shared" si="5"/>
        <v>38.497863247863251</v>
      </c>
      <c r="AC31" s="19">
        <f t="shared" si="6"/>
        <v>38.497863247863251</v>
      </c>
      <c r="AG31" s="19">
        <f t="shared" si="7"/>
        <v>5.3180769230769229</v>
      </c>
      <c r="AH31" s="19">
        <f t="shared" si="8"/>
        <v>15.954230769230769</v>
      </c>
      <c r="AI31" s="19">
        <f t="shared" si="9"/>
        <v>53.180769230769229</v>
      </c>
      <c r="AJ31" s="19">
        <f t="shared" si="10"/>
        <v>53.180769230769229</v>
      </c>
      <c r="AN31" s="19">
        <f t="shared" si="11"/>
        <v>4.5620169093562488</v>
      </c>
      <c r="AO31" s="19">
        <f t="shared" si="12"/>
        <v>13.686050728068746</v>
      </c>
      <c r="AP31" s="19">
        <f t="shared" si="13"/>
        <v>45.620169093562481</v>
      </c>
      <c r="AQ31" s="19">
        <f t="shared" si="14"/>
        <v>45.620169093562481</v>
      </c>
    </row>
    <row r="32" spans="1:43" x14ac:dyDescent="0.45">
      <c r="A32" s="21">
        <v>1811</v>
      </c>
      <c r="B32" s="41">
        <v>6.9464601149624974</v>
      </c>
      <c r="C32" s="41">
        <v>20.828492476368744</v>
      </c>
      <c r="D32" s="41">
        <v>69.41016180703123</v>
      </c>
      <c r="E32" s="43">
        <v>69.41016180703123</v>
      </c>
      <c r="F32" s="19" t="s">
        <v>37</v>
      </c>
      <c r="G32" s="19" t="s">
        <v>36</v>
      </c>
      <c r="H32" s="19" t="s">
        <v>64</v>
      </c>
      <c r="L32" s="54">
        <v>7.8593700000000002</v>
      </c>
      <c r="M32" s="55">
        <v>23.578109999999999</v>
      </c>
      <c r="N32" s="55">
        <v>78.593699999999998</v>
      </c>
      <c r="O32" s="56">
        <v>82.523380000000003</v>
      </c>
      <c r="S32" s="19">
        <v>6.38</v>
      </c>
      <c r="T32" s="19">
        <v>19.13</v>
      </c>
      <c r="U32" s="19">
        <v>63.75</v>
      </c>
      <c r="V32" s="19">
        <v>63.75</v>
      </c>
      <c r="Z32" s="19">
        <f t="shared" si="3"/>
        <v>5.8619658119658125</v>
      </c>
      <c r="AA32" s="19">
        <f t="shared" si="4"/>
        <v>17.576709401709401</v>
      </c>
      <c r="AB32" s="19">
        <f t="shared" si="5"/>
        <v>58.573717948717949</v>
      </c>
      <c r="AC32" s="19">
        <f t="shared" si="6"/>
        <v>58.573717948717949</v>
      </c>
      <c r="AG32" s="19">
        <f t="shared" si="7"/>
        <v>8.0976923076923075</v>
      </c>
      <c r="AH32" s="19">
        <f t="shared" si="8"/>
        <v>24.280384615384612</v>
      </c>
      <c r="AI32" s="19">
        <f t="shared" si="9"/>
        <v>80.913461538461533</v>
      </c>
      <c r="AJ32" s="19">
        <f t="shared" si="10"/>
        <v>80.913461538461533</v>
      </c>
      <c r="AN32" s="19">
        <f t="shared" si="11"/>
        <v>6.9464601149624974</v>
      </c>
      <c r="AO32" s="19">
        <f t="shared" si="12"/>
        <v>20.828492476368744</v>
      </c>
      <c r="AP32" s="19">
        <f t="shared" si="13"/>
        <v>69.41016180703123</v>
      </c>
      <c r="AQ32" s="19">
        <f t="shared" si="14"/>
        <v>69.41016180703123</v>
      </c>
    </row>
    <row r="33" spans="1:43" x14ac:dyDescent="0.45">
      <c r="A33" s="21">
        <v>1812</v>
      </c>
      <c r="B33" s="41">
        <v>8.2094528631374981</v>
      </c>
      <c r="C33" s="41">
        <v>24.639246457931243</v>
      </c>
      <c r="D33" s="41">
        <v>82.127192236931236</v>
      </c>
      <c r="E33" s="43">
        <v>82.127192236931236</v>
      </c>
      <c r="F33" s="19" t="s">
        <v>37</v>
      </c>
      <c r="G33" s="19" t="s">
        <v>36</v>
      </c>
      <c r="H33" s="19" t="s">
        <v>38</v>
      </c>
      <c r="L33" s="54">
        <v>9.2981560000000005</v>
      </c>
      <c r="M33" s="55">
        <v>27.894469999999998</v>
      </c>
      <c r="N33" s="55">
        <v>92.981560000000002</v>
      </c>
      <c r="O33" s="56">
        <v>97.63064</v>
      </c>
      <c r="S33" s="19">
        <v>7.54</v>
      </c>
      <c r="T33" s="19">
        <v>22.63</v>
      </c>
      <c r="U33" s="19">
        <v>75.430000000000007</v>
      </c>
      <c r="V33" s="19">
        <v>75.430000000000007</v>
      </c>
      <c r="Z33" s="19">
        <f t="shared" si="3"/>
        <v>6.9277777777777771</v>
      </c>
      <c r="AA33" s="19">
        <f t="shared" si="4"/>
        <v>20.792521367521367</v>
      </c>
      <c r="AB33" s="19">
        <f t="shared" si="5"/>
        <v>69.305341880341885</v>
      </c>
      <c r="AC33" s="19">
        <f t="shared" si="6"/>
        <v>69.305341880341885</v>
      </c>
      <c r="AG33" s="19">
        <f t="shared" si="7"/>
        <v>9.57</v>
      </c>
      <c r="AH33" s="19">
        <f t="shared" si="8"/>
        <v>28.722692307692306</v>
      </c>
      <c r="AI33" s="19">
        <f t="shared" si="9"/>
        <v>95.738076923076932</v>
      </c>
      <c r="AJ33" s="19">
        <f t="shared" si="10"/>
        <v>95.738076923076932</v>
      </c>
      <c r="AN33" s="19">
        <f t="shared" si="11"/>
        <v>8.2094528631374981</v>
      </c>
      <c r="AO33" s="19">
        <f t="shared" si="12"/>
        <v>24.639246457931243</v>
      </c>
      <c r="AP33" s="19">
        <f t="shared" si="13"/>
        <v>82.127192236931236</v>
      </c>
      <c r="AQ33" s="19">
        <f t="shared" si="14"/>
        <v>82.127192236931236</v>
      </c>
    </row>
    <row r="34" spans="1:43" x14ac:dyDescent="0.45">
      <c r="A34" s="21">
        <v>1813</v>
      </c>
      <c r="B34" s="41">
        <v>5.6508037612312494</v>
      </c>
      <c r="C34" s="41">
        <v>16.963299152212496</v>
      </c>
      <c r="D34" s="41">
        <v>56.529813349349979</v>
      </c>
      <c r="E34" s="43">
        <v>56.529813349349979</v>
      </c>
      <c r="F34" s="19" t="s">
        <v>37</v>
      </c>
      <c r="G34" s="19" t="s">
        <v>36</v>
      </c>
      <c r="H34" s="19" t="s">
        <v>39</v>
      </c>
      <c r="L34" s="54">
        <v>6.4009640000000001</v>
      </c>
      <c r="M34" s="55">
        <v>19.20289</v>
      </c>
      <c r="N34" s="55">
        <v>64.009640000000005</v>
      </c>
      <c r="O34" s="56">
        <v>67.210120000000003</v>
      </c>
      <c r="S34" s="19">
        <v>5.19</v>
      </c>
      <c r="T34" s="19">
        <v>15.58</v>
      </c>
      <c r="U34" s="19">
        <v>51.92</v>
      </c>
      <c r="V34" s="19">
        <v>51.92</v>
      </c>
      <c r="Z34" s="19">
        <f t="shared" si="3"/>
        <v>4.768589743589744</v>
      </c>
      <c r="AA34" s="19">
        <f t="shared" si="4"/>
        <v>14.314957264957265</v>
      </c>
      <c r="AB34" s="19">
        <f t="shared" si="5"/>
        <v>47.704273504273509</v>
      </c>
      <c r="AC34" s="19">
        <f t="shared" si="6"/>
        <v>47.704273504273509</v>
      </c>
      <c r="AG34" s="19">
        <f t="shared" si="7"/>
        <v>6.587307692307693</v>
      </c>
      <c r="AH34" s="19">
        <f t="shared" si="8"/>
        <v>19.774615384615384</v>
      </c>
      <c r="AI34" s="19">
        <f t="shared" si="9"/>
        <v>65.898461538461532</v>
      </c>
      <c r="AJ34" s="19">
        <f t="shared" si="10"/>
        <v>65.898461538461532</v>
      </c>
      <c r="AN34" s="19">
        <f t="shared" si="11"/>
        <v>5.6508037612312494</v>
      </c>
      <c r="AO34" s="19">
        <f t="shared" si="12"/>
        <v>16.963299152212496</v>
      </c>
      <c r="AP34" s="19">
        <f t="shared" si="13"/>
        <v>56.529813349349979</v>
      </c>
      <c r="AQ34" s="19">
        <f t="shared" si="14"/>
        <v>56.529813349349979</v>
      </c>
    </row>
    <row r="35" spans="1:43" x14ac:dyDescent="0.45">
      <c r="A35" s="21">
        <v>1814</v>
      </c>
      <c r="B35" s="41">
        <v>8.1767892575812464</v>
      </c>
      <c r="C35" s="41">
        <v>24.541255641262488</v>
      </c>
      <c r="D35" s="41">
        <v>81.800556181368734</v>
      </c>
      <c r="E35" s="43">
        <v>81.800556181368734</v>
      </c>
      <c r="F35" s="19" t="s">
        <v>37</v>
      </c>
      <c r="G35" s="19" t="s">
        <v>36</v>
      </c>
      <c r="H35" s="19" t="s">
        <v>40</v>
      </c>
      <c r="L35" s="54">
        <v>9.2621859999999998</v>
      </c>
      <c r="M35" s="55">
        <v>27.786560000000001</v>
      </c>
      <c r="N35" s="55">
        <v>92.621859999999998</v>
      </c>
      <c r="O35" s="56">
        <v>97.252960000000002</v>
      </c>
      <c r="S35" s="19">
        <v>7.51</v>
      </c>
      <c r="T35" s="19">
        <v>22.54</v>
      </c>
      <c r="U35" s="19">
        <v>75.13</v>
      </c>
      <c r="V35" s="19">
        <v>75.13</v>
      </c>
      <c r="Z35" s="19">
        <f t="shared" si="3"/>
        <v>6.9002136752136742</v>
      </c>
      <c r="AA35" s="19">
        <f t="shared" si="4"/>
        <v>20.709829059829058</v>
      </c>
      <c r="AB35" s="19">
        <f t="shared" si="5"/>
        <v>69.029700854700849</v>
      </c>
      <c r="AC35" s="19">
        <f t="shared" si="6"/>
        <v>69.029700854700849</v>
      </c>
      <c r="AG35" s="19">
        <f t="shared" si="7"/>
        <v>9.5319230769230767</v>
      </c>
      <c r="AH35" s="19">
        <f t="shared" si="8"/>
        <v>28.60846153846154</v>
      </c>
      <c r="AI35" s="19">
        <f t="shared" si="9"/>
        <v>95.357307692307685</v>
      </c>
      <c r="AJ35" s="19">
        <f t="shared" si="10"/>
        <v>95.357307692307685</v>
      </c>
      <c r="AN35" s="19">
        <f t="shared" si="11"/>
        <v>8.1767892575812464</v>
      </c>
      <c r="AO35" s="19">
        <f t="shared" si="12"/>
        <v>24.541255641262488</v>
      </c>
      <c r="AP35" s="19">
        <f t="shared" si="13"/>
        <v>81.800556181368734</v>
      </c>
      <c r="AQ35" s="19">
        <f t="shared" si="14"/>
        <v>81.800556181368734</v>
      </c>
    </row>
    <row r="36" spans="1:43" x14ac:dyDescent="0.45">
      <c r="A36" s="21">
        <v>1815</v>
      </c>
      <c r="B36" s="41">
        <v>6.6198240593999973</v>
      </c>
      <c r="C36" s="41">
        <v>19.85947217819999</v>
      </c>
      <c r="D36" s="41">
        <v>66.176464856962468</v>
      </c>
      <c r="E36" s="43">
        <v>66.176464856962468</v>
      </c>
      <c r="F36" s="19" t="s">
        <v>35</v>
      </c>
      <c r="G36" s="19" t="s">
        <v>36</v>
      </c>
      <c r="H36" s="19" t="s">
        <v>41</v>
      </c>
      <c r="L36" s="54">
        <v>7.4931330000000003</v>
      </c>
      <c r="M36" s="55">
        <v>22.479399999999998</v>
      </c>
      <c r="N36" s="55">
        <v>74.931330000000003</v>
      </c>
      <c r="O36" s="56">
        <v>78.677899999999994</v>
      </c>
      <c r="S36" s="19">
        <v>6.08</v>
      </c>
      <c r="T36" s="19">
        <v>18.239999999999998</v>
      </c>
      <c r="U36" s="19">
        <v>60.78</v>
      </c>
      <c r="V36" s="19">
        <v>60.78</v>
      </c>
      <c r="Z36" s="19">
        <f t="shared" si="3"/>
        <v>5.5863247863247869</v>
      </c>
      <c r="AA36" s="19">
        <f t="shared" si="4"/>
        <v>16.758974358974356</v>
      </c>
      <c r="AB36" s="19">
        <f t="shared" si="5"/>
        <v>55.8448717948718</v>
      </c>
      <c r="AC36" s="19">
        <f t="shared" si="6"/>
        <v>55.8448717948718</v>
      </c>
      <c r="AG36" s="19">
        <f t="shared" si="7"/>
        <v>7.7169230769230772</v>
      </c>
      <c r="AH36" s="19">
        <f t="shared" si="8"/>
        <v>23.150769230769228</v>
      </c>
      <c r="AI36" s="19">
        <f t="shared" si="9"/>
        <v>77.143846153846155</v>
      </c>
      <c r="AJ36" s="19">
        <f t="shared" si="10"/>
        <v>77.143846153846155</v>
      </c>
      <c r="AN36" s="19">
        <f t="shared" si="11"/>
        <v>6.6198240593999973</v>
      </c>
      <c r="AO36" s="19">
        <f t="shared" si="12"/>
        <v>19.85947217819999</v>
      </c>
      <c r="AP36" s="19">
        <f t="shared" si="13"/>
        <v>66.176464856962468</v>
      </c>
      <c r="AQ36" s="19">
        <f t="shared" si="14"/>
        <v>66.176464856962468</v>
      </c>
    </row>
    <row r="37" spans="1:43" x14ac:dyDescent="0.45">
      <c r="A37" s="21">
        <v>1826</v>
      </c>
      <c r="B37" s="41">
        <v>22.189476041212494</v>
      </c>
      <c r="C37" s="41">
        <v>110.92560446902496</v>
      </c>
      <c r="D37" s="41">
        <v>443.69153000758109</v>
      </c>
      <c r="E37" s="43">
        <v>443.69153000758109</v>
      </c>
      <c r="F37" s="19" t="s">
        <v>42</v>
      </c>
      <c r="G37" s="19" t="s">
        <v>43</v>
      </c>
      <c r="H37" s="19" t="s">
        <v>65</v>
      </c>
      <c r="L37" s="54">
        <v>25.118259999999999</v>
      </c>
      <c r="M37" s="55">
        <v>125.5913</v>
      </c>
      <c r="N37" s="55">
        <v>502.36529999999999</v>
      </c>
      <c r="O37" s="56">
        <v>527.48360000000002</v>
      </c>
      <c r="S37" s="19">
        <v>20.38</v>
      </c>
      <c r="T37" s="19">
        <v>101.88</v>
      </c>
      <c r="U37" s="19">
        <v>407.51</v>
      </c>
      <c r="V37" s="19">
        <v>407.51</v>
      </c>
      <c r="Z37" s="19">
        <f t="shared" si="3"/>
        <v>18.725213675213674</v>
      </c>
      <c r="AA37" s="19">
        <f t="shared" si="4"/>
        <v>93.607692307692304</v>
      </c>
      <c r="AB37" s="19">
        <f t="shared" si="5"/>
        <v>374.42158119658114</v>
      </c>
      <c r="AC37" s="19">
        <f t="shared" si="6"/>
        <v>374.42158119658114</v>
      </c>
      <c r="AG37" s="19">
        <f t="shared" si="7"/>
        <v>25.866923076923076</v>
      </c>
      <c r="AH37" s="19">
        <f t="shared" si="8"/>
        <v>129.30923076923077</v>
      </c>
      <c r="AI37" s="19">
        <f t="shared" si="9"/>
        <v>517.22423076923076</v>
      </c>
      <c r="AJ37" s="19">
        <f t="shared" si="10"/>
        <v>517.22423076923076</v>
      </c>
      <c r="AN37" s="19">
        <f t="shared" si="11"/>
        <v>22.189476041212494</v>
      </c>
      <c r="AO37" s="19">
        <f t="shared" si="12"/>
        <v>110.92560446902496</v>
      </c>
      <c r="AP37" s="19">
        <f t="shared" si="13"/>
        <v>443.69153000758109</v>
      </c>
      <c r="AQ37" s="19">
        <f t="shared" si="14"/>
        <v>443.69153000758109</v>
      </c>
    </row>
    <row r="38" spans="1:43" x14ac:dyDescent="0.45">
      <c r="A38" s="21">
        <v>1827</v>
      </c>
      <c r="B38" s="41">
        <v>24.105740900512494</v>
      </c>
      <c r="C38" s="41">
        <v>120.55048023959996</v>
      </c>
      <c r="D38" s="41">
        <v>482.21280882691855</v>
      </c>
      <c r="E38" s="43">
        <v>482.21280882691855</v>
      </c>
      <c r="F38" s="19" t="s">
        <v>42</v>
      </c>
      <c r="G38" s="19" t="s">
        <v>43</v>
      </c>
      <c r="H38" s="19" t="s">
        <v>66</v>
      </c>
      <c r="L38" s="54">
        <v>27.29852</v>
      </c>
      <c r="M38" s="55">
        <v>136.49260000000001</v>
      </c>
      <c r="N38" s="55">
        <v>545.97029999999995</v>
      </c>
      <c r="O38" s="56">
        <v>573.26880000000006</v>
      </c>
      <c r="S38" s="19">
        <v>22.14</v>
      </c>
      <c r="T38" s="19">
        <v>110.72</v>
      </c>
      <c r="U38" s="19">
        <v>442.89</v>
      </c>
      <c r="V38" s="19">
        <v>442.89</v>
      </c>
      <c r="Z38" s="19">
        <f t="shared" si="3"/>
        <v>20.342307692307696</v>
      </c>
      <c r="AA38" s="19">
        <f t="shared" si="4"/>
        <v>101.72991452991452</v>
      </c>
      <c r="AB38" s="19">
        <f t="shared" si="5"/>
        <v>406.92884615384611</v>
      </c>
      <c r="AC38" s="19">
        <f t="shared" si="6"/>
        <v>406.92884615384611</v>
      </c>
      <c r="AG38" s="19">
        <f t="shared" si="7"/>
        <v>28.100769230769231</v>
      </c>
      <c r="AH38" s="19">
        <f t="shared" si="8"/>
        <v>140.52923076923076</v>
      </c>
      <c r="AI38" s="19">
        <f t="shared" si="9"/>
        <v>562.12961538461536</v>
      </c>
      <c r="AJ38" s="19">
        <f t="shared" si="10"/>
        <v>562.12961538461536</v>
      </c>
      <c r="AN38" s="19">
        <f t="shared" si="11"/>
        <v>24.105740900512494</v>
      </c>
      <c r="AO38" s="19">
        <f t="shared" si="12"/>
        <v>120.55048023959996</v>
      </c>
      <c r="AP38" s="19">
        <f t="shared" si="13"/>
        <v>482.21280882691855</v>
      </c>
      <c r="AQ38" s="19">
        <f t="shared" si="14"/>
        <v>482.21280882691855</v>
      </c>
    </row>
    <row r="39" spans="1:43" x14ac:dyDescent="0.45">
      <c r="A39" s="21">
        <v>1828</v>
      </c>
      <c r="B39" s="41">
        <v>11.377822602093746</v>
      </c>
      <c r="C39" s="41">
        <v>56.867337273431225</v>
      </c>
      <c r="D39" s="41">
        <v>227.4693490937249</v>
      </c>
      <c r="E39" s="43">
        <v>227.4693490937249</v>
      </c>
      <c r="F39" s="19" t="s">
        <v>42</v>
      </c>
      <c r="G39" s="19" t="s">
        <v>43</v>
      </c>
      <c r="H39" s="19" t="s">
        <v>67</v>
      </c>
      <c r="L39" s="54">
        <v>12.877140000000001</v>
      </c>
      <c r="M39" s="55">
        <v>64.385679999999994</v>
      </c>
      <c r="N39" s="55">
        <v>257.54270000000002</v>
      </c>
      <c r="O39" s="56">
        <v>270.41989999999998</v>
      </c>
      <c r="S39" s="19">
        <v>10.45</v>
      </c>
      <c r="T39" s="19">
        <v>52.23</v>
      </c>
      <c r="U39" s="19">
        <v>208.92</v>
      </c>
      <c r="V39" s="19">
        <v>208.92</v>
      </c>
      <c r="Z39" s="19">
        <f t="shared" si="3"/>
        <v>9.6014957264957257</v>
      </c>
      <c r="AA39" s="19">
        <f t="shared" si="4"/>
        <v>47.989102564102559</v>
      </c>
      <c r="AB39" s="19">
        <f t="shared" si="5"/>
        <v>191.95641025641024</v>
      </c>
      <c r="AC39" s="19">
        <f t="shared" si="6"/>
        <v>191.95641025641024</v>
      </c>
      <c r="AG39" s="19">
        <f t="shared" si="7"/>
        <v>13.263461538461536</v>
      </c>
      <c r="AH39" s="19">
        <f t="shared" si="8"/>
        <v>66.291923076923069</v>
      </c>
      <c r="AI39" s="19">
        <f t="shared" si="9"/>
        <v>265.16769230769228</v>
      </c>
      <c r="AJ39" s="19">
        <f t="shared" si="10"/>
        <v>265.16769230769228</v>
      </c>
      <c r="AN39" s="19">
        <f t="shared" si="11"/>
        <v>11.377822602093746</v>
      </c>
      <c r="AO39" s="19">
        <f t="shared" si="12"/>
        <v>56.867337273431225</v>
      </c>
      <c r="AP39" s="19">
        <f t="shared" si="13"/>
        <v>227.4693490937249</v>
      </c>
      <c r="AQ39" s="19">
        <f t="shared" si="14"/>
        <v>227.4693490937249</v>
      </c>
    </row>
    <row r="40" spans="1:43" x14ac:dyDescent="0.45">
      <c r="A40" s="21">
        <v>1829</v>
      </c>
      <c r="B40" s="41">
        <v>16.364466383681243</v>
      </c>
      <c r="C40" s="41">
        <v>81.822331918406221</v>
      </c>
      <c r="D40" s="41">
        <v>327.28932767362488</v>
      </c>
      <c r="E40" s="43">
        <v>327.28932767362488</v>
      </c>
      <c r="F40" s="19" t="s">
        <v>42</v>
      </c>
      <c r="G40" s="19" t="s">
        <v>43</v>
      </c>
      <c r="H40" s="19" t="s">
        <v>68</v>
      </c>
      <c r="L40" s="54">
        <v>18.528459999999999</v>
      </c>
      <c r="M40" s="55">
        <v>92.642300000000006</v>
      </c>
      <c r="N40" s="55">
        <v>370.56920000000002</v>
      </c>
      <c r="O40" s="56">
        <v>389.09769999999997</v>
      </c>
      <c r="S40" s="19">
        <v>15.03</v>
      </c>
      <c r="T40" s="19">
        <v>75.150000000000006</v>
      </c>
      <c r="U40" s="19">
        <v>300.60000000000002</v>
      </c>
      <c r="V40" s="19">
        <v>300.60000000000002</v>
      </c>
      <c r="Z40" s="19">
        <f t="shared" si="3"/>
        <v>13.809615384615384</v>
      </c>
      <c r="AA40" s="19">
        <f t="shared" si="4"/>
        <v>69.048076923076934</v>
      </c>
      <c r="AB40" s="19">
        <f t="shared" si="5"/>
        <v>276.19230769230774</v>
      </c>
      <c r="AC40" s="19">
        <f t="shared" si="6"/>
        <v>276.19230769230774</v>
      </c>
      <c r="AG40" s="19">
        <f t="shared" si="7"/>
        <v>19.076538461538462</v>
      </c>
      <c r="AH40" s="19">
        <f t="shared" si="8"/>
        <v>95.382692307692324</v>
      </c>
      <c r="AI40" s="19">
        <f t="shared" si="9"/>
        <v>381.53076923076929</v>
      </c>
      <c r="AJ40" s="19">
        <f t="shared" si="10"/>
        <v>381.53076923076929</v>
      </c>
      <c r="AN40" s="19">
        <f t="shared" si="11"/>
        <v>16.364466383681243</v>
      </c>
      <c r="AO40" s="19">
        <f t="shared" si="12"/>
        <v>81.822331918406221</v>
      </c>
      <c r="AP40" s="19">
        <f t="shared" si="13"/>
        <v>327.28932767362488</v>
      </c>
      <c r="AQ40" s="19">
        <f t="shared" si="14"/>
        <v>327.28932767362488</v>
      </c>
    </row>
    <row r="41" spans="1:43" x14ac:dyDescent="0.45">
      <c r="A41" s="21">
        <v>1830</v>
      </c>
      <c r="B41" s="41">
        <v>13.609835648437496</v>
      </c>
      <c r="C41" s="41">
        <v>40.81861907679373</v>
      </c>
      <c r="D41" s="41">
        <v>136.05480501029993</v>
      </c>
      <c r="E41" s="43">
        <v>136.05480501029993</v>
      </c>
      <c r="F41" s="19" t="s">
        <v>42</v>
      </c>
      <c r="G41" s="19" t="s">
        <v>43</v>
      </c>
      <c r="H41" s="19" t="s">
        <v>44</v>
      </c>
      <c r="L41" s="54">
        <v>15.404820000000001</v>
      </c>
      <c r="M41" s="55">
        <v>46.214469999999999</v>
      </c>
      <c r="N41" s="55">
        <v>154.04820000000001</v>
      </c>
      <c r="O41" s="56">
        <v>161.75059999999999</v>
      </c>
      <c r="S41" s="19">
        <v>12.5</v>
      </c>
      <c r="T41" s="19">
        <v>37.49</v>
      </c>
      <c r="U41" s="19">
        <v>124.96</v>
      </c>
      <c r="V41" s="19">
        <v>124.96</v>
      </c>
      <c r="Z41" s="19">
        <f t="shared" si="3"/>
        <v>11.485042735042734</v>
      </c>
      <c r="AA41" s="19">
        <f t="shared" si="4"/>
        <v>34.445940170940176</v>
      </c>
      <c r="AB41" s="19">
        <f t="shared" si="5"/>
        <v>114.81367521367521</v>
      </c>
      <c r="AC41" s="19">
        <f t="shared" si="6"/>
        <v>114.81367521367521</v>
      </c>
      <c r="AG41" s="19">
        <f t="shared" si="7"/>
        <v>15.865384615384615</v>
      </c>
      <c r="AH41" s="19">
        <f t="shared" si="8"/>
        <v>47.583461538461542</v>
      </c>
      <c r="AI41" s="19">
        <f t="shared" si="9"/>
        <v>158.60307692307691</v>
      </c>
      <c r="AJ41" s="19">
        <f t="shared" si="10"/>
        <v>158.60307692307691</v>
      </c>
      <c r="AN41" s="19">
        <f t="shared" si="11"/>
        <v>13.609835648437496</v>
      </c>
      <c r="AO41" s="19">
        <f t="shared" si="12"/>
        <v>40.81861907679373</v>
      </c>
      <c r="AP41" s="19">
        <f t="shared" si="13"/>
        <v>136.05480501029993</v>
      </c>
      <c r="AQ41" s="19">
        <f t="shared" si="14"/>
        <v>136.05480501029993</v>
      </c>
    </row>
    <row r="42" spans="1:43" x14ac:dyDescent="0.45">
      <c r="A42" s="21">
        <v>1832</v>
      </c>
      <c r="B42" s="41">
        <v>51.07499122145623</v>
      </c>
      <c r="C42" s="41">
        <v>153.23586153288747</v>
      </c>
      <c r="D42" s="41">
        <v>510.7716879515998</v>
      </c>
      <c r="E42" s="43">
        <v>510.7716879515998</v>
      </c>
      <c r="F42" s="19" t="s">
        <v>42</v>
      </c>
      <c r="G42" s="19" t="s">
        <v>45</v>
      </c>
      <c r="H42" s="19" t="s">
        <v>53</v>
      </c>
      <c r="L42" s="54">
        <v>57.831699999999998</v>
      </c>
      <c r="M42" s="55">
        <v>173.49510000000001</v>
      </c>
      <c r="N42" s="55">
        <v>578.31700000000001</v>
      </c>
      <c r="O42" s="56">
        <v>607.2328</v>
      </c>
      <c r="S42" s="19">
        <v>46.91</v>
      </c>
      <c r="T42" s="19">
        <v>140.74</v>
      </c>
      <c r="U42" s="19">
        <v>469.12</v>
      </c>
      <c r="V42" s="19">
        <v>469.12</v>
      </c>
      <c r="Z42" s="19">
        <f t="shared" si="3"/>
        <v>43.101068376068376</v>
      </c>
      <c r="AA42" s="19">
        <f t="shared" si="4"/>
        <v>129.31239316239316</v>
      </c>
      <c r="AB42" s="19">
        <f t="shared" si="5"/>
        <v>431.02905982905986</v>
      </c>
      <c r="AC42" s="19">
        <f t="shared" si="6"/>
        <v>431.02905982905986</v>
      </c>
      <c r="AG42" s="19">
        <f t="shared" si="7"/>
        <v>59.539615384615381</v>
      </c>
      <c r="AH42" s="19">
        <f t="shared" si="8"/>
        <v>178.6315384615385</v>
      </c>
      <c r="AI42" s="19">
        <f t="shared" si="9"/>
        <v>595.42153846153849</v>
      </c>
      <c r="AJ42" s="19">
        <f t="shared" si="10"/>
        <v>595.42153846153849</v>
      </c>
      <c r="AN42" s="19">
        <f t="shared" si="11"/>
        <v>51.07499122145623</v>
      </c>
      <c r="AO42" s="19">
        <f t="shared" si="12"/>
        <v>153.23586153288747</v>
      </c>
      <c r="AP42" s="19">
        <f t="shared" si="13"/>
        <v>510.7716879515998</v>
      </c>
      <c r="AQ42" s="19">
        <f t="shared" si="14"/>
        <v>510.7716879515998</v>
      </c>
    </row>
    <row r="43" spans="1:43" x14ac:dyDescent="0.45">
      <c r="A43" s="21">
        <v>1833</v>
      </c>
      <c r="B43" s="41">
        <v>5.1064103352937495</v>
      </c>
      <c r="C43" s="41">
        <v>15.330118874399995</v>
      </c>
      <c r="D43" s="41">
        <v>51.107654827012482</v>
      </c>
      <c r="E43" s="43">
        <v>51.107654827012482</v>
      </c>
      <c r="F43" s="19" t="s">
        <v>42</v>
      </c>
      <c r="G43" s="19" t="s">
        <v>45</v>
      </c>
      <c r="H43" s="19" t="s">
        <v>69</v>
      </c>
      <c r="L43" s="54">
        <v>5.7869529999999996</v>
      </c>
      <c r="M43" s="55">
        <v>17.360859999999999</v>
      </c>
      <c r="N43" s="55">
        <v>57.869529999999997</v>
      </c>
      <c r="O43" s="56">
        <v>60.762999999999998</v>
      </c>
      <c r="S43" s="19">
        <v>4.6900000000000004</v>
      </c>
      <c r="T43" s="19">
        <v>14.08</v>
      </c>
      <c r="U43" s="19">
        <v>46.94</v>
      </c>
      <c r="V43" s="19">
        <v>46.94</v>
      </c>
      <c r="Z43" s="19">
        <f t="shared" si="3"/>
        <v>4.3091880341880344</v>
      </c>
      <c r="AA43" s="19">
        <f t="shared" si="4"/>
        <v>12.936752136752135</v>
      </c>
      <c r="AB43" s="19">
        <f t="shared" si="5"/>
        <v>43.128632478632483</v>
      </c>
      <c r="AC43" s="19">
        <f t="shared" si="6"/>
        <v>43.128632478632483</v>
      </c>
      <c r="AG43" s="19">
        <f t="shared" si="7"/>
        <v>5.9526923076923079</v>
      </c>
      <c r="AH43" s="19">
        <f t="shared" si="8"/>
        <v>17.870769230769231</v>
      </c>
      <c r="AI43" s="19">
        <f t="shared" si="9"/>
        <v>59.577692307692303</v>
      </c>
      <c r="AJ43" s="19">
        <f t="shared" si="10"/>
        <v>59.577692307692303</v>
      </c>
      <c r="AN43" s="19">
        <f t="shared" si="11"/>
        <v>5.1064103352937495</v>
      </c>
      <c r="AO43" s="19">
        <f t="shared" si="12"/>
        <v>15.330118874399995</v>
      </c>
      <c r="AP43" s="19">
        <f t="shared" si="13"/>
        <v>51.107654827012482</v>
      </c>
      <c r="AQ43" s="19">
        <f t="shared" si="14"/>
        <v>51.107654827012482</v>
      </c>
    </row>
    <row r="44" spans="1:43" x14ac:dyDescent="0.45">
      <c r="A44" s="21">
        <v>1834</v>
      </c>
      <c r="B44" s="41">
        <v>7.6541715686812477</v>
      </c>
      <c r="C44" s="41">
        <v>22.951626837524987</v>
      </c>
      <c r="D44" s="41">
        <v>76.487276344218728</v>
      </c>
      <c r="E44" s="43">
        <v>76.487276344218728</v>
      </c>
      <c r="F44" s="19" t="s">
        <v>42</v>
      </c>
      <c r="G44" s="19" t="s">
        <v>45</v>
      </c>
      <c r="H44" s="19" t="s">
        <v>70</v>
      </c>
      <c r="L44" s="54">
        <v>8.6601400000000002</v>
      </c>
      <c r="M44" s="55">
        <v>25.980419999999999</v>
      </c>
      <c r="N44" s="55">
        <v>86.601399999999998</v>
      </c>
      <c r="O44" s="56">
        <v>90.931470000000004</v>
      </c>
      <c r="S44" s="19">
        <v>7.03</v>
      </c>
      <c r="T44" s="19">
        <v>21.08</v>
      </c>
      <c r="U44" s="19">
        <v>70.25</v>
      </c>
      <c r="V44" s="19">
        <v>70.25</v>
      </c>
      <c r="Z44" s="19">
        <f t="shared" si="3"/>
        <v>6.4591880341880348</v>
      </c>
      <c r="AA44" s="19">
        <f t="shared" si="4"/>
        <v>19.368376068376069</v>
      </c>
      <c r="AB44" s="19">
        <f t="shared" si="5"/>
        <v>64.54594017094017</v>
      </c>
      <c r="AC44" s="19">
        <f t="shared" si="6"/>
        <v>64.54594017094017</v>
      </c>
      <c r="AG44" s="19">
        <f t="shared" si="7"/>
        <v>8.9226923076923068</v>
      </c>
      <c r="AH44" s="19">
        <f t="shared" si="8"/>
        <v>26.755384615384614</v>
      </c>
      <c r="AI44" s="19">
        <f t="shared" si="9"/>
        <v>89.163461538461533</v>
      </c>
      <c r="AJ44" s="19">
        <f t="shared" si="10"/>
        <v>89.163461538461533</v>
      </c>
      <c r="AN44" s="19">
        <f t="shared" si="11"/>
        <v>7.6541715686812477</v>
      </c>
      <c r="AO44" s="19">
        <f t="shared" si="12"/>
        <v>22.951626837524987</v>
      </c>
      <c r="AP44" s="19">
        <f t="shared" si="13"/>
        <v>76.487276344218728</v>
      </c>
      <c r="AQ44" s="19">
        <f t="shared" si="14"/>
        <v>76.487276344218728</v>
      </c>
    </row>
    <row r="45" spans="1:43" x14ac:dyDescent="0.45">
      <c r="A45" s="21">
        <v>1835</v>
      </c>
      <c r="B45" s="41">
        <v>15.667642798481245</v>
      </c>
      <c r="C45" s="41">
        <v>47.013816263962489</v>
      </c>
      <c r="D45" s="41">
        <v>156.7090915903687</v>
      </c>
      <c r="E45" s="43">
        <v>156.7090915903687</v>
      </c>
      <c r="F45" s="19" t="s">
        <v>42</v>
      </c>
      <c r="G45" s="19" t="s">
        <v>45</v>
      </c>
      <c r="H45" s="19" t="s">
        <v>71</v>
      </c>
      <c r="L45" s="54">
        <v>17.742850000000001</v>
      </c>
      <c r="M45" s="55">
        <v>53.228549999999998</v>
      </c>
      <c r="N45" s="55">
        <v>177.42850000000001</v>
      </c>
      <c r="O45" s="56">
        <v>186.29990000000001</v>
      </c>
      <c r="S45" s="19">
        <v>14.39</v>
      </c>
      <c r="T45" s="19">
        <v>43.18</v>
      </c>
      <c r="U45" s="19">
        <v>143.93</v>
      </c>
      <c r="V45" s="19">
        <v>143.93</v>
      </c>
      <c r="Z45" s="19">
        <f t="shared" si="3"/>
        <v>13.221581196581196</v>
      </c>
      <c r="AA45" s="19">
        <f t="shared" si="4"/>
        <v>39.67393162393163</v>
      </c>
      <c r="AB45" s="19">
        <f t="shared" si="5"/>
        <v>132.24337606837608</v>
      </c>
      <c r="AC45" s="19">
        <f t="shared" si="6"/>
        <v>132.24337606837608</v>
      </c>
      <c r="AG45" s="19">
        <f t="shared" si="7"/>
        <v>18.264230769230767</v>
      </c>
      <c r="AH45" s="19">
        <f t="shared" si="8"/>
        <v>54.805384615384611</v>
      </c>
      <c r="AI45" s="19">
        <f t="shared" si="9"/>
        <v>182.68038461538461</v>
      </c>
      <c r="AJ45" s="19">
        <f t="shared" si="10"/>
        <v>182.68038461538461</v>
      </c>
      <c r="AN45" s="19">
        <f t="shared" si="11"/>
        <v>15.667642798481245</v>
      </c>
      <c r="AO45" s="19">
        <f t="shared" si="12"/>
        <v>47.013816263962489</v>
      </c>
      <c r="AP45" s="19">
        <f t="shared" si="13"/>
        <v>156.7090915903687</v>
      </c>
      <c r="AQ45" s="19">
        <f t="shared" si="14"/>
        <v>156.7090915903687</v>
      </c>
    </row>
    <row r="46" spans="1:43" x14ac:dyDescent="0.45">
      <c r="A46" s="21">
        <v>1836</v>
      </c>
      <c r="B46" s="41">
        <v>12.989227142868746</v>
      </c>
      <c r="C46" s="41">
        <v>38.956793560087497</v>
      </c>
      <c r="D46" s="41">
        <v>129.84871995461245</v>
      </c>
      <c r="E46" s="43">
        <v>129.84871995461245</v>
      </c>
      <c r="F46" s="19" t="s">
        <v>42</v>
      </c>
      <c r="G46" s="19" t="s">
        <v>45</v>
      </c>
      <c r="H46" s="19" t="s">
        <v>72</v>
      </c>
      <c r="L46" s="54">
        <v>14.701779999999999</v>
      </c>
      <c r="M46" s="55">
        <v>44.105339999999998</v>
      </c>
      <c r="N46" s="55">
        <v>147.01779999999999</v>
      </c>
      <c r="O46" s="56">
        <v>154.36869999999999</v>
      </c>
      <c r="S46" s="19">
        <v>11.93</v>
      </c>
      <c r="T46" s="19">
        <v>35.78</v>
      </c>
      <c r="U46" s="19">
        <v>119.26</v>
      </c>
      <c r="V46" s="19">
        <v>119.26</v>
      </c>
      <c r="Z46" s="19">
        <f t="shared" si="3"/>
        <v>10.961324786324786</v>
      </c>
      <c r="AA46" s="19">
        <f t="shared" si="4"/>
        <v>32.874786324786321</v>
      </c>
      <c r="AB46" s="19">
        <f t="shared" si="5"/>
        <v>109.57649572649574</v>
      </c>
      <c r="AC46" s="19">
        <f t="shared" si="6"/>
        <v>109.57649572649574</v>
      </c>
      <c r="AG46" s="19">
        <f t="shared" si="7"/>
        <v>15.141923076923078</v>
      </c>
      <c r="AH46" s="19">
        <f t="shared" si="8"/>
        <v>45.413076923076922</v>
      </c>
      <c r="AI46" s="19">
        <f t="shared" si="9"/>
        <v>151.36846153846153</v>
      </c>
      <c r="AJ46" s="19">
        <f t="shared" si="10"/>
        <v>151.36846153846153</v>
      </c>
      <c r="AN46" s="19">
        <f t="shared" si="11"/>
        <v>12.989227142868746</v>
      </c>
      <c r="AO46" s="19">
        <f t="shared" si="12"/>
        <v>38.956793560087497</v>
      </c>
      <c r="AP46" s="19">
        <f t="shared" si="13"/>
        <v>129.84871995461245</v>
      </c>
      <c r="AQ46" s="19">
        <f t="shared" si="14"/>
        <v>129.84871995461245</v>
      </c>
    </row>
    <row r="47" spans="1:43" x14ac:dyDescent="0.45">
      <c r="A47" s="21">
        <v>1837</v>
      </c>
      <c r="B47" s="41">
        <v>11.965767502106246</v>
      </c>
      <c r="C47" s="41">
        <v>35.886414637799987</v>
      </c>
      <c r="D47" s="41">
        <v>119.63589928402497</v>
      </c>
      <c r="E47" s="43">
        <v>119.63589928402497</v>
      </c>
      <c r="F47" s="19" t="s">
        <v>42</v>
      </c>
      <c r="G47" s="19" t="s">
        <v>45</v>
      </c>
      <c r="H47" s="19" t="s">
        <v>73</v>
      </c>
      <c r="L47" s="54">
        <v>13.54585</v>
      </c>
      <c r="M47" s="55">
        <v>40.637540000000001</v>
      </c>
      <c r="N47" s="55">
        <v>135.45849999999999</v>
      </c>
      <c r="O47" s="56">
        <v>142.23140000000001</v>
      </c>
      <c r="S47" s="19">
        <v>10.99</v>
      </c>
      <c r="T47" s="19">
        <v>32.96</v>
      </c>
      <c r="U47" s="19">
        <v>109.88</v>
      </c>
      <c r="V47" s="19">
        <v>109.88</v>
      </c>
      <c r="Z47" s="19">
        <f t="shared" si="3"/>
        <v>10.097649572649573</v>
      </c>
      <c r="AA47" s="19">
        <f t="shared" si="4"/>
        <v>30.283760683760686</v>
      </c>
      <c r="AB47" s="19">
        <f t="shared" si="5"/>
        <v>100.95811965811966</v>
      </c>
      <c r="AC47" s="19">
        <f t="shared" si="6"/>
        <v>100.95811965811966</v>
      </c>
      <c r="AG47" s="19">
        <f t="shared" si="7"/>
        <v>13.948846153846155</v>
      </c>
      <c r="AH47" s="19">
        <f t="shared" si="8"/>
        <v>41.83384615384616</v>
      </c>
      <c r="AI47" s="19">
        <f t="shared" si="9"/>
        <v>139.4630769230769</v>
      </c>
      <c r="AJ47" s="19">
        <f t="shared" si="10"/>
        <v>139.4630769230769</v>
      </c>
      <c r="AN47" s="19">
        <f t="shared" si="11"/>
        <v>11.965767502106246</v>
      </c>
      <c r="AO47" s="19">
        <f t="shared" si="12"/>
        <v>35.886414637799987</v>
      </c>
      <c r="AP47" s="19">
        <f t="shared" si="13"/>
        <v>119.63589928402497</v>
      </c>
      <c r="AQ47" s="19">
        <f t="shared" si="14"/>
        <v>119.63589928402497</v>
      </c>
    </row>
    <row r="48" spans="1:43" x14ac:dyDescent="0.45">
      <c r="A48" s="21">
        <v>1839</v>
      </c>
      <c r="B48" s="41">
        <v>11.062074415049997</v>
      </c>
      <c r="C48" s="41">
        <v>33.175335376631239</v>
      </c>
      <c r="D48" s="41">
        <v>110.56630480790621</v>
      </c>
      <c r="E48" s="43">
        <v>110.56630480790621</v>
      </c>
      <c r="F48" s="19" t="s">
        <v>42</v>
      </c>
      <c r="G48" s="19" t="s">
        <v>45</v>
      </c>
      <c r="H48" s="19" t="s">
        <v>74</v>
      </c>
      <c r="L48" s="54">
        <v>12.519080000000001</v>
      </c>
      <c r="M48" s="55">
        <v>37.557229999999997</v>
      </c>
      <c r="N48" s="55">
        <v>125.1908</v>
      </c>
      <c r="O48" s="56">
        <v>131.4503</v>
      </c>
      <c r="S48" s="19">
        <v>10.16</v>
      </c>
      <c r="T48" s="19">
        <v>30.47</v>
      </c>
      <c r="U48" s="19">
        <v>101.55</v>
      </c>
      <c r="V48" s="19">
        <v>101.55</v>
      </c>
      <c r="Z48" s="19">
        <f t="shared" si="3"/>
        <v>9.3350427350427356</v>
      </c>
      <c r="AA48" s="19">
        <f t="shared" si="4"/>
        <v>27.995940170940173</v>
      </c>
      <c r="AB48" s="19">
        <f t="shared" si="5"/>
        <v>93.304487179487182</v>
      </c>
      <c r="AC48" s="19">
        <f t="shared" si="6"/>
        <v>93.304487179487182</v>
      </c>
      <c r="AG48" s="19">
        <f t="shared" si="7"/>
        <v>12.895384615384616</v>
      </c>
      <c r="AH48" s="19">
        <f t="shared" si="8"/>
        <v>38.673461538461538</v>
      </c>
      <c r="AI48" s="19">
        <f t="shared" si="9"/>
        <v>128.89038461538462</v>
      </c>
      <c r="AJ48" s="19">
        <f t="shared" si="10"/>
        <v>128.89038461538462</v>
      </c>
      <c r="AN48" s="19">
        <f t="shared" si="11"/>
        <v>11.062074415049997</v>
      </c>
      <c r="AO48" s="19">
        <f t="shared" si="12"/>
        <v>33.175335376631239</v>
      </c>
      <c r="AP48" s="19">
        <f t="shared" si="13"/>
        <v>110.56630480790621</v>
      </c>
      <c r="AQ48" s="19">
        <f t="shared" si="14"/>
        <v>110.56630480790621</v>
      </c>
    </row>
    <row r="49" spans="1:43" x14ac:dyDescent="0.45">
      <c r="A49" s="21">
        <v>1840</v>
      </c>
      <c r="B49" s="41">
        <v>17.627459131856245</v>
      </c>
      <c r="C49" s="41">
        <v>52.871489527049981</v>
      </c>
      <c r="D49" s="41">
        <v>176.24192771300619</v>
      </c>
      <c r="E49" s="43">
        <v>176.24192771300619</v>
      </c>
      <c r="F49" s="19" t="s">
        <v>42</v>
      </c>
      <c r="G49" s="19" t="s">
        <v>45</v>
      </c>
      <c r="H49" s="19" t="s">
        <v>75</v>
      </c>
      <c r="L49" s="54">
        <v>19.954979999999999</v>
      </c>
      <c r="M49" s="55">
        <v>59.86495</v>
      </c>
      <c r="N49" s="55">
        <v>199.5498</v>
      </c>
      <c r="O49" s="56">
        <v>209.5273</v>
      </c>
      <c r="S49" s="19">
        <v>16.190000000000001</v>
      </c>
      <c r="T49" s="19">
        <v>48.56</v>
      </c>
      <c r="U49" s="19">
        <v>161.87</v>
      </c>
      <c r="V49" s="19">
        <v>161.87</v>
      </c>
      <c r="Z49" s="19">
        <f t="shared" si="3"/>
        <v>14.875427350427351</v>
      </c>
      <c r="AA49" s="19">
        <f t="shared" si="4"/>
        <v>44.617094017094018</v>
      </c>
      <c r="AB49" s="19">
        <f t="shared" si="5"/>
        <v>148.72670940170943</v>
      </c>
      <c r="AC49" s="19">
        <f t="shared" si="6"/>
        <v>148.72670940170943</v>
      </c>
      <c r="AG49" s="19">
        <f t="shared" si="7"/>
        <v>20.548846153846156</v>
      </c>
      <c r="AH49" s="19">
        <f t="shared" si="8"/>
        <v>61.633846153846157</v>
      </c>
      <c r="AI49" s="19">
        <f t="shared" si="9"/>
        <v>205.45038461538462</v>
      </c>
      <c r="AJ49" s="19">
        <f t="shared" si="10"/>
        <v>205.45038461538462</v>
      </c>
      <c r="AN49" s="19">
        <f t="shared" si="11"/>
        <v>17.627459131856245</v>
      </c>
      <c r="AO49" s="19">
        <f t="shared" si="12"/>
        <v>52.871489527049981</v>
      </c>
      <c r="AP49" s="19">
        <f t="shared" si="13"/>
        <v>176.24192771300619</v>
      </c>
      <c r="AQ49" s="19">
        <f t="shared" si="14"/>
        <v>176.24192771300619</v>
      </c>
    </row>
    <row r="50" spans="1:43" x14ac:dyDescent="0.45">
      <c r="A50" s="21">
        <v>1841</v>
      </c>
      <c r="B50" s="41">
        <v>38.913242086012488</v>
      </c>
      <c r="C50" s="41">
        <v>116.73972625803746</v>
      </c>
      <c r="D50" s="41">
        <v>389.11064512308735</v>
      </c>
      <c r="E50" s="43">
        <v>389.11064512308735</v>
      </c>
      <c r="F50" s="19" t="s">
        <v>42</v>
      </c>
      <c r="G50" s="19" t="s">
        <v>45</v>
      </c>
      <c r="H50" s="19" t="s">
        <v>76</v>
      </c>
      <c r="L50" s="54">
        <v>44.056849999999997</v>
      </c>
      <c r="M50" s="55">
        <v>132.1705</v>
      </c>
      <c r="N50" s="55">
        <v>440.56849999999997</v>
      </c>
      <c r="O50" s="56">
        <v>462.59690000000001</v>
      </c>
      <c r="S50" s="19">
        <v>35.74</v>
      </c>
      <c r="T50" s="19">
        <v>107.22</v>
      </c>
      <c r="U50" s="19">
        <v>357.38</v>
      </c>
      <c r="V50" s="19">
        <v>357.38</v>
      </c>
      <c r="Z50" s="19">
        <f t="shared" si="3"/>
        <v>32.838034188034193</v>
      </c>
      <c r="AA50" s="19">
        <f t="shared" si="4"/>
        <v>98.514102564102558</v>
      </c>
      <c r="AB50" s="19">
        <f t="shared" si="5"/>
        <v>328.36196581196577</v>
      </c>
      <c r="AC50" s="19">
        <f t="shared" si="6"/>
        <v>328.36196581196577</v>
      </c>
      <c r="AG50" s="19">
        <f t="shared" si="7"/>
        <v>45.362307692307695</v>
      </c>
      <c r="AH50" s="19">
        <f t="shared" si="8"/>
        <v>136.08692307692309</v>
      </c>
      <c r="AI50" s="19">
        <f t="shared" si="9"/>
        <v>453.59769230769228</v>
      </c>
      <c r="AJ50" s="19">
        <f t="shared" si="10"/>
        <v>453.59769230769228</v>
      </c>
      <c r="AN50" s="19">
        <f t="shared" si="11"/>
        <v>38.913242086012488</v>
      </c>
      <c r="AO50" s="19">
        <f t="shared" si="12"/>
        <v>116.73972625803746</v>
      </c>
      <c r="AP50" s="19">
        <f t="shared" si="13"/>
        <v>389.11064512308735</v>
      </c>
      <c r="AQ50" s="19">
        <f t="shared" si="14"/>
        <v>389.11064512308735</v>
      </c>
    </row>
    <row r="51" spans="1:43" x14ac:dyDescent="0.45">
      <c r="A51" s="21">
        <v>1842</v>
      </c>
      <c r="B51" s="41">
        <v>14.894604133649995</v>
      </c>
      <c r="C51" s="41">
        <v>37.247398202643737</v>
      </c>
      <c r="D51" s="41">
        <v>148.9787049420562</v>
      </c>
      <c r="E51" s="43">
        <v>148.9787049420562</v>
      </c>
      <c r="F51" s="19" t="s">
        <v>42</v>
      </c>
      <c r="G51" s="19" t="s">
        <v>45</v>
      </c>
      <c r="H51" s="19" t="s">
        <v>77</v>
      </c>
      <c r="L51" s="54">
        <v>16.868130000000001</v>
      </c>
      <c r="M51" s="55">
        <v>42.17033</v>
      </c>
      <c r="N51" s="55">
        <v>168.68129999999999</v>
      </c>
      <c r="O51" s="56">
        <v>177.11539999999999</v>
      </c>
      <c r="S51" s="19">
        <v>13.68</v>
      </c>
      <c r="T51" s="19">
        <v>34.21</v>
      </c>
      <c r="U51" s="19">
        <v>136.83000000000001</v>
      </c>
      <c r="V51" s="19">
        <v>136.83000000000001</v>
      </c>
      <c r="Z51" s="19">
        <f t="shared" si="3"/>
        <v>12.569230769230769</v>
      </c>
      <c r="AA51" s="19">
        <f t="shared" si="4"/>
        <v>31.432264957264959</v>
      </c>
      <c r="AB51" s="19">
        <f t="shared" si="5"/>
        <v>125.71987179487181</v>
      </c>
      <c r="AC51" s="19">
        <f t="shared" si="6"/>
        <v>125.71987179487181</v>
      </c>
      <c r="AG51" s="19">
        <f t="shared" si="7"/>
        <v>17.363076923076925</v>
      </c>
      <c r="AH51" s="19">
        <f t="shared" si="8"/>
        <v>43.42038461538462</v>
      </c>
      <c r="AI51" s="19">
        <f t="shared" si="9"/>
        <v>173.66884615384618</v>
      </c>
      <c r="AJ51" s="19">
        <f t="shared" si="10"/>
        <v>173.66884615384618</v>
      </c>
      <c r="AN51" s="19">
        <f t="shared" si="11"/>
        <v>14.894604133649995</v>
      </c>
      <c r="AO51" s="19">
        <f t="shared" si="12"/>
        <v>37.247398202643737</v>
      </c>
      <c r="AP51" s="19">
        <f t="shared" si="13"/>
        <v>148.9787049420562</v>
      </c>
      <c r="AQ51" s="19">
        <f t="shared" si="14"/>
        <v>148.9787049420562</v>
      </c>
    </row>
    <row r="52" spans="1:43" x14ac:dyDescent="0.45">
      <c r="A52" s="21">
        <v>1843</v>
      </c>
      <c r="B52" s="41">
        <v>6.2823001353187466</v>
      </c>
      <c r="C52" s="41">
        <v>31.400612808074985</v>
      </c>
      <c r="D52" s="41">
        <v>125.61333910081871</v>
      </c>
      <c r="E52" s="43">
        <v>125.61333910081871</v>
      </c>
      <c r="F52" s="19" t="s">
        <v>42</v>
      </c>
      <c r="G52" s="19" t="s">
        <v>45</v>
      </c>
      <c r="H52" s="19" t="s">
        <v>78</v>
      </c>
      <c r="L52" s="54">
        <v>7.111364</v>
      </c>
      <c r="M52" s="55">
        <v>35.556820000000002</v>
      </c>
      <c r="N52" s="55">
        <v>142.22730000000001</v>
      </c>
      <c r="O52" s="56">
        <v>149.33869999999999</v>
      </c>
      <c r="S52" s="19">
        <v>5.77</v>
      </c>
      <c r="T52" s="19">
        <v>28.84</v>
      </c>
      <c r="U52" s="19">
        <v>115.37</v>
      </c>
      <c r="V52" s="19">
        <v>115.37</v>
      </c>
      <c r="Z52" s="19">
        <f t="shared" si="3"/>
        <v>5.3014957264957259</v>
      </c>
      <c r="AA52" s="19">
        <f t="shared" si="4"/>
        <v>26.498290598290598</v>
      </c>
      <c r="AB52" s="19">
        <f t="shared" si="5"/>
        <v>106.00235042735042</v>
      </c>
      <c r="AC52" s="19">
        <f t="shared" si="6"/>
        <v>106.00235042735042</v>
      </c>
      <c r="AG52" s="19">
        <f t="shared" si="7"/>
        <v>7.3234615384615376</v>
      </c>
      <c r="AH52" s="19">
        <f t="shared" si="8"/>
        <v>36.604615384615386</v>
      </c>
      <c r="AI52" s="19">
        <f t="shared" si="9"/>
        <v>146.43115384615385</v>
      </c>
      <c r="AJ52" s="19">
        <f t="shared" si="10"/>
        <v>146.43115384615385</v>
      </c>
      <c r="AN52" s="19">
        <f t="shared" si="11"/>
        <v>6.2823001353187466</v>
      </c>
      <c r="AO52" s="19">
        <f t="shared" si="12"/>
        <v>31.400612808074985</v>
      </c>
      <c r="AP52" s="19">
        <f t="shared" si="13"/>
        <v>125.61333910081871</v>
      </c>
      <c r="AQ52" s="19">
        <f t="shared" si="14"/>
        <v>125.61333910081871</v>
      </c>
    </row>
    <row r="53" spans="1:43" x14ac:dyDescent="0.45">
      <c r="A53" s="21">
        <v>1846</v>
      </c>
      <c r="B53" s="41">
        <v>4.2789323278687483</v>
      </c>
      <c r="C53" s="41">
        <v>12.836796983606243</v>
      </c>
      <c r="D53" s="41">
        <v>42.789323278687483</v>
      </c>
      <c r="E53" s="43">
        <v>42.789323278687483</v>
      </c>
      <c r="F53" s="19" t="s">
        <v>42</v>
      </c>
      <c r="G53" s="19" t="s">
        <v>79</v>
      </c>
      <c r="H53" s="19" t="s">
        <v>80</v>
      </c>
      <c r="L53" s="54">
        <v>4.8444589999999996</v>
      </c>
      <c r="M53" s="55">
        <v>14.533379999999999</v>
      </c>
      <c r="N53" s="55">
        <v>48.444589999999998</v>
      </c>
      <c r="O53" s="56">
        <v>50.866819999999997</v>
      </c>
      <c r="S53" s="19">
        <v>3.93</v>
      </c>
      <c r="T53" s="19">
        <v>11.79</v>
      </c>
      <c r="U53" s="19">
        <v>39.299999999999997</v>
      </c>
      <c r="V53" s="19">
        <v>39.299999999999997</v>
      </c>
      <c r="Z53" s="19">
        <f t="shared" si="3"/>
        <v>3.6108974358974359</v>
      </c>
      <c r="AA53" s="19">
        <f t="shared" si="4"/>
        <v>10.832692307692307</v>
      </c>
      <c r="AB53" s="19">
        <f t="shared" si="5"/>
        <v>36.108974358974358</v>
      </c>
      <c r="AC53" s="19">
        <f t="shared" si="6"/>
        <v>36.108974358974358</v>
      </c>
      <c r="AG53" s="19">
        <f t="shared" si="7"/>
        <v>4.9880769230769229</v>
      </c>
      <c r="AH53" s="19">
        <f t="shared" si="8"/>
        <v>14.964230769230769</v>
      </c>
      <c r="AI53" s="19">
        <f t="shared" si="9"/>
        <v>49.880769230769225</v>
      </c>
      <c r="AJ53" s="19">
        <f t="shared" si="10"/>
        <v>49.880769230769225</v>
      </c>
      <c r="AN53" s="19">
        <f t="shared" si="11"/>
        <v>4.2789323278687483</v>
      </c>
      <c r="AO53" s="19">
        <f t="shared" si="12"/>
        <v>12.836796983606243</v>
      </c>
      <c r="AP53" s="19">
        <f t="shared" si="13"/>
        <v>42.789323278687483</v>
      </c>
      <c r="AQ53" s="19">
        <f t="shared" si="14"/>
        <v>42.789323278687483</v>
      </c>
    </row>
    <row r="54" spans="1:43" x14ac:dyDescent="0.45">
      <c r="A54" s="21">
        <v>1847</v>
      </c>
      <c r="B54" s="41">
        <v>3.7127631648937487</v>
      </c>
      <c r="C54" s="41">
        <v>11.138289494681247</v>
      </c>
      <c r="D54" s="41">
        <v>37.138519517456238</v>
      </c>
      <c r="E54" s="43">
        <v>37.138519517456238</v>
      </c>
      <c r="F54" s="19" t="s">
        <v>42</v>
      </c>
      <c r="G54" s="19" t="s">
        <v>79</v>
      </c>
      <c r="H54" s="19" t="s">
        <v>81</v>
      </c>
      <c r="L54" s="54">
        <v>4.2051800000000004</v>
      </c>
      <c r="M54" s="55">
        <v>12.615539999999999</v>
      </c>
      <c r="N54" s="55">
        <v>42.0518</v>
      </c>
      <c r="O54" s="56">
        <v>44.154389999999999</v>
      </c>
      <c r="S54" s="19">
        <v>3.41</v>
      </c>
      <c r="T54" s="19">
        <v>10.23</v>
      </c>
      <c r="U54" s="19">
        <v>34.11</v>
      </c>
      <c r="V54" s="19">
        <v>34.11</v>
      </c>
      <c r="Z54" s="19">
        <f t="shared" si="3"/>
        <v>3.1331196581196581</v>
      </c>
      <c r="AA54" s="19">
        <f t="shared" si="4"/>
        <v>9.3993589743589752</v>
      </c>
      <c r="AB54" s="19">
        <f t="shared" si="5"/>
        <v>31.340384615384615</v>
      </c>
      <c r="AC54" s="19">
        <f t="shared" si="6"/>
        <v>31.340384615384615</v>
      </c>
      <c r="AG54" s="19">
        <f t="shared" si="7"/>
        <v>4.3280769230769236</v>
      </c>
      <c r="AH54" s="19">
        <f t="shared" si="8"/>
        <v>12.984230769230768</v>
      </c>
      <c r="AI54" s="19">
        <f t="shared" si="9"/>
        <v>43.293461538461536</v>
      </c>
      <c r="AJ54" s="19">
        <f t="shared" si="10"/>
        <v>43.293461538461536</v>
      </c>
      <c r="AN54" s="19">
        <f t="shared" si="11"/>
        <v>3.7127631648937487</v>
      </c>
      <c r="AO54" s="19">
        <f t="shared" si="12"/>
        <v>11.138289494681247</v>
      </c>
      <c r="AP54" s="19">
        <f t="shared" si="13"/>
        <v>37.138519517456238</v>
      </c>
      <c r="AQ54" s="19">
        <f t="shared" si="14"/>
        <v>37.138519517456238</v>
      </c>
    </row>
    <row r="55" spans="1:43" x14ac:dyDescent="0.45">
      <c r="A55" s="21">
        <v>1848</v>
      </c>
      <c r="B55" s="41">
        <v>6.1407578445749973</v>
      </c>
      <c r="C55" s="41">
        <v>18.41138566520624</v>
      </c>
      <c r="D55" s="41">
        <v>61.374914840193725</v>
      </c>
      <c r="E55" s="43">
        <v>61.374914840193725</v>
      </c>
      <c r="F55" s="19" t="s">
        <v>42</v>
      </c>
      <c r="G55" s="19" t="s">
        <v>79</v>
      </c>
      <c r="H55" s="19" t="s">
        <v>82</v>
      </c>
      <c r="L55" s="54">
        <v>6.9486829999999999</v>
      </c>
      <c r="M55" s="55">
        <v>20.846050000000002</v>
      </c>
      <c r="N55" s="55">
        <v>69.486829999999998</v>
      </c>
      <c r="O55" s="56">
        <v>72.961179999999999</v>
      </c>
      <c r="S55" s="19">
        <v>5.64</v>
      </c>
      <c r="T55" s="19">
        <v>16.91</v>
      </c>
      <c r="U55" s="19">
        <v>56.37</v>
      </c>
      <c r="V55" s="19">
        <v>56.37</v>
      </c>
      <c r="Z55" s="19">
        <f t="shared" si="3"/>
        <v>5.1820512820512814</v>
      </c>
      <c r="AA55" s="19">
        <f t="shared" si="4"/>
        <v>15.536965811965812</v>
      </c>
      <c r="AB55" s="19">
        <f t="shared" si="5"/>
        <v>51.792948717948718</v>
      </c>
      <c r="AC55" s="19">
        <f t="shared" si="6"/>
        <v>51.792948717948718</v>
      </c>
      <c r="AG55" s="19">
        <f t="shared" si="7"/>
        <v>7.1584615384615384</v>
      </c>
      <c r="AH55" s="19">
        <f t="shared" si="8"/>
        <v>21.462692307692311</v>
      </c>
      <c r="AI55" s="19">
        <f t="shared" si="9"/>
        <v>71.546538461538461</v>
      </c>
      <c r="AJ55" s="19">
        <f t="shared" si="10"/>
        <v>71.546538461538461</v>
      </c>
      <c r="AN55" s="19">
        <f t="shared" si="11"/>
        <v>6.1407578445749973</v>
      </c>
      <c r="AO55" s="19">
        <f t="shared" si="12"/>
        <v>18.41138566520624</v>
      </c>
      <c r="AP55" s="19">
        <f t="shared" si="13"/>
        <v>61.374914840193725</v>
      </c>
      <c r="AQ55" s="19">
        <f t="shared" si="14"/>
        <v>61.374914840193725</v>
      </c>
    </row>
    <row r="56" spans="1:43" x14ac:dyDescent="0.45">
      <c r="A56" s="21">
        <v>1849</v>
      </c>
      <c r="B56" s="41">
        <v>9.3417911890874965</v>
      </c>
      <c r="C56" s="41">
        <v>28.025373567262488</v>
      </c>
      <c r="D56" s="41">
        <v>93.417911890874947</v>
      </c>
      <c r="E56" s="43">
        <v>93.417911890874947</v>
      </c>
      <c r="F56" s="19" t="s">
        <v>42</v>
      </c>
      <c r="G56" s="19" t="s">
        <v>79</v>
      </c>
      <c r="H56" s="19" t="s">
        <v>78</v>
      </c>
      <c r="L56" s="54">
        <v>10.57704</v>
      </c>
      <c r="M56" s="55">
        <v>31.731120000000001</v>
      </c>
      <c r="N56" s="55">
        <v>105.7704</v>
      </c>
      <c r="O56" s="56">
        <v>111.05889999999999</v>
      </c>
      <c r="S56" s="19">
        <v>8.58</v>
      </c>
      <c r="T56" s="19">
        <v>25.74</v>
      </c>
      <c r="U56" s="19">
        <v>85.8</v>
      </c>
      <c r="V56" s="19">
        <v>85.8</v>
      </c>
      <c r="Z56" s="19">
        <f t="shared" si="3"/>
        <v>7.8833333333333337</v>
      </c>
      <c r="AA56" s="19">
        <f t="shared" si="4"/>
        <v>23.65</v>
      </c>
      <c r="AB56" s="19">
        <f t="shared" si="5"/>
        <v>78.833333333333329</v>
      </c>
      <c r="AC56" s="19">
        <f t="shared" si="6"/>
        <v>78.833333333333329</v>
      </c>
      <c r="AG56" s="19">
        <f t="shared" si="7"/>
        <v>10.89</v>
      </c>
      <c r="AH56" s="19">
        <f t="shared" si="8"/>
        <v>32.67</v>
      </c>
      <c r="AI56" s="19">
        <f t="shared" si="9"/>
        <v>108.89999999999999</v>
      </c>
      <c r="AJ56" s="19">
        <f t="shared" si="10"/>
        <v>108.89999999999999</v>
      </c>
      <c r="AN56" s="19">
        <f t="shared" si="11"/>
        <v>9.3417911890874965</v>
      </c>
      <c r="AO56" s="19">
        <f t="shared" si="12"/>
        <v>28.025373567262488</v>
      </c>
      <c r="AP56" s="19">
        <f t="shared" si="13"/>
        <v>93.417911890874947</v>
      </c>
      <c r="AQ56" s="19">
        <f t="shared" si="14"/>
        <v>93.417911890874947</v>
      </c>
    </row>
    <row r="57" spans="1:43" x14ac:dyDescent="0.45">
      <c r="A57" s="21">
        <v>1854</v>
      </c>
      <c r="B57" s="41">
        <v>48.385687697324983</v>
      </c>
      <c r="C57" s="41">
        <v>145.1679509604937</v>
      </c>
      <c r="D57" s="41">
        <v>483.87865271028738</v>
      </c>
      <c r="E57" s="43">
        <v>483.87865271028738</v>
      </c>
      <c r="F57" s="19" t="s">
        <v>42</v>
      </c>
      <c r="G57" s="19" t="s">
        <v>83</v>
      </c>
      <c r="H57" s="19" t="s">
        <v>54</v>
      </c>
      <c r="L57" s="54">
        <v>54.786540000000002</v>
      </c>
      <c r="M57" s="55">
        <v>164.3596</v>
      </c>
      <c r="N57" s="55">
        <v>547.86540000000002</v>
      </c>
      <c r="O57" s="56">
        <v>575.25869999999998</v>
      </c>
      <c r="S57" s="19">
        <v>44.44</v>
      </c>
      <c r="T57" s="19">
        <v>133.33000000000001</v>
      </c>
      <c r="U57" s="19">
        <v>444.42</v>
      </c>
      <c r="V57" s="19">
        <v>444.42</v>
      </c>
      <c r="Z57" s="19">
        <f t="shared" si="3"/>
        <v>40.83162393162393</v>
      </c>
      <c r="AA57" s="19">
        <f t="shared" si="4"/>
        <v>122.50405982905984</v>
      </c>
      <c r="AB57" s="19">
        <f t="shared" si="5"/>
        <v>408.3346153846154</v>
      </c>
      <c r="AC57" s="19">
        <f t="shared" si="6"/>
        <v>408.3346153846154</v>
      </c>
      <c r="AG57" s="19">
        <f t="shared" si="7"/>
        <v>56.404615384615376</v>
      </c>
      <c r="AH57" s="19">
        <f t="shared" si="8"/>
        <v>169.22653846153847</v>
      </c>
      <c r="AI57" s="19">
        <f t="shared" si="9"/>
        <v>564.07153846153847</v>
      </c>
      <c r="AJ57" s="19">
        <f t="shared" si="10"/>
        <v>564.07153846153847</v>
      </c>
      <c r="AN57" s="19">
        <f t="shared" si="11"/>
        <v>48.385687697324983</v>
      </c>
      <c r="AO57" s="19">
        <f t="shared" si="12"/>
        <v>145.1679509604937</v>
      </c>
      <c r="AP57" s="19">
        <f t="shared" si="13"/>
        <v>483.87865271028738</v>
      </c>
      <c r="AQ57" s="19">
        <f t="shared" si="14"/>
        <v>483.87865271028738</v>
      </c>
    </row>
    <row r="58" spans="1:43" x14ac:dyDescent="0.45">
      <c r="A58" s="21">
        <v>1855</v>
      </c>
      <c r="B58" s="41">
        <v>64.978799319899977</v>
      </c>
      <c r="C58" s="41">
        <v>194.93639795969995</v>
      </c>
      <c r="D58" s="41">
        <v>649.77710533048094</v>
      </c>
      <c r="E58" s="43">
        <v>649.77710533048094</v>
      </c>
      <c r="F58" s="19" t="s">
        <v>42</v>
      </c>
      <c r="G58" s="19" t="s">
        <v>83</v>
      </c>
      <c r="H58" s="19" t="s">
        <v>55</v>
      </c>
      <c r="L58" s="54">
        <v>73.570059999999998</v>
      </c>
      <c r="M58" s="55">
        <v>220.71019999999999</v>
      </c>
      <c r="N58" s="55">
        <v>735.70060000000001</v>
      </c>
      <c r="O58" s="56">
        <v>772.48559999999998</v>
      </c>
      <c r="S58" s="19">
        <v>59.68</v>
      </c>
      <c r="T58" s="19">
        <v>179.04</v>
      </c>
      <c r="U58" s="19">
        <v>596.79</v>
      </c>
      <c r="V58" s="19">
        <v>596.79</v>
      </c>
      <c r="Z58" s="19">
        <f t="shared" si="3"/>
        <v>54.834188034188038</v>
      </c>
      <c r="AA58" s="19">
        <f t="shared" si="4"/>
        <v>164.50256410256409</v>
      </c>
      <c r="AB58" s="19">
        <f t="shared" si="5"/>
        <v>548.33269230769224</v>
      </c>
      <c r="AC58" s="19">
        <f t="shared" si="6"/>
        <v>548.33269230769224</v>
      </c>
      <c r="AG58" s="19">
        <f t="shared" si="7"/>
        <v>75.747692307692304</v>
      </c>
      <c r="AH58" s="19">
        <f t="shared" si="8"/>
        <v>227.2430769230769</v>
      </c>
      <c r="AI58" s="19">
        <f t="shared" si="9"/>
        <v>757.46423076923065</v>
      </c>
      <c r="AJ58" s="19">
        <f t="shared" si="10"/>
        <v>757.46423076923065</v>
      </c>
      <c r="AN58" s="19">
        <f t="shared" si="11"/>
        <v>64.978799319899977</v>
      </c>
      <c r="AO58" s="19">
        <f t="shared" si="12"/>
        <v>194.93639795969995</v>
      </c>
      <c r="AP58" s="19">
        <f t="shared" si="13"/>
        <v>649.77710533048094</v>
      </c>
      <c r="AQ58" s="19">
        <f t="shared" si="14"/>
        <v>649.77710533048094</v>
      </c>
    </row>
    <row r="59" spans="1:43" x14ac:dyDescent="0.45">
      <c r="A59" s="21">
        <v>1856</v>
      </c>
      <c r="B59" s="41">
        <v>52.708171499268715</v>
      </c>
      <c r="C59" s="41">
        <v>158.11362662928747</v>
      </c>
      <c r="D59" s="41">
        <v>527.04905138713104</v>
      </c>
      <c r="E59" s="43">
        <v>527.04905138713104</v>
      </c>
      <c r="F59" s="19" t="s">
        <v>42</v>
      </c>
      <c r="G59" s="19" t="s">
        <v>83</v>
      </c>
      <c r="H59" s="19" t="s">
        <v>84</v>
      </c>
      <c r="L59" s="54">
        <v>59.673659999999998</v>
      </c>
      <c r="M59" s="55">
        <v>179.02099999999999</v>
      </c>
      <c r="N59" s="55">
        <v>596.73659999999995</v>
      </c>
      <c r="O59" s="56">
        <v>626.57339999999999</v>
      </c>
      <c r="S59" s="19">
        <v>48.41</v>
      </c>
      <c r="T59" s="19">
        <v>145.22</v>
      </c>
      <c r="U59" s="19">
        <v>484.07</v>
      </c>
      <c r="V59" s="19">
        <v>484.07</v>
      </c>
      <c r="Z59" s="19">
        <f t="shared" si="3"/>
        <v>44.4792735042735</v>
      </c>
      <c r="AA59" s="19">
        <f t="shared" si="4"/>
        <v>133.42863247863247</v>
      </c>
      <c r="AB59" s="19">
        <f t="shared" si="5"/>
        <v>444.76517094017095</v>
      </c>
      <c r="AC59" s="19">
        <f t="shared" si="6"/>
        <v>444.76517094017095</v>
      </c>
      <c r="AG59" s="19">
        <f t="shared" si="7"/>
        <v>61.443461538461534</v>
      </c>
      <c r="AH59" s="19">
        <f t="shared" si="8"/>
        <v>184.31769230769228</v>
      </c>
      <c r="AI59" s="19">
        <f t="shared" si="9"/>
        <v>614.39653846153851</v>
      </c>
      <c r="AJ59" s="19">
        <f t="shared" si="10"/>
        <v>614.39653846153851</v>
      </c>
      <c r="AN59" s="19">
        <f t="shared" si="11"/>
        <v>52.708171499268715</v>
      </c>
      <c r="AO59" s="19">
        <f t="shared" si="12"/>
        <v>158.11362662928747</v>
      </c>
      <c r="AP59" s="19">
        <f t="shared" si="13"/>
        <v>527.04905138713104</v>
      </c>
      <c r="AQ59" s="19">
        <f t="shared" si="14"/>
        <v>527.04905138713104</v>
      </c>
    </row>
    <row r="60" spans="1:43" x14ac:dyDescent="0.45">
      <c r="A60" s="21">
        <v>1862</v>
      </c>
      <c r="B60" s="41">
        <v>4.2244929852749982</v>
      </c>
      <c r="C60" s="41">
        <v>35.853751032243736</v>
      </c>
      <c r="D60" s="41">
        <v>253.53490632761242</v>
      </c>
      <c r="E60" s="43">
        <v>253.53490632761242</v>
      </c>
      <c r="F60" s="19" t="s">
        <v>85</v>
      </c>
      <c r="G60" s="19" t="s">
        <v>86</v>
      </c>
      <c r="H60" s="19" t="s">
        <v>87</v>
      </c>
      <c r="L60" s="54">
        <v>4.7795139999999998</v>
      </c>
      <c r="M60" s="55">
        <v>40.593240000000002</v>
      </c>
      <c r="N60" s="55">
        <v>287.06009999999998</v>
      </c>
      <c r="O60" s="56">
        <v>301.41320000000002</v>
      </c>
      <c r="S60" s="19">
        <v>3.88</v>
      </c>
      <c r="T60" s="19">
        <v>32.93</v>
      </c>
      <c r="U60" s="19">
        <v>232.86</v>
      </c>
      <c r="V60" s="19">
        <v>232.86</v>
      </c>
      <c r="Z60" s="19">
        <f t="shared" si="3"/>
        <v>3.5649572649572647</v>
      </c>
      <c r="AA60" s="19">
        <f t="shared" si="4"/>
        <v>30.25619658119658</v>
      </c>
      <c r="AB60" s="19">
        <f t="shared" si="5"/>
        <v>213.95256410256411</v>
      </c>
      <c r="AC60" s="19">
        <f t="shared" si="6"/>
        <v>213.95256410256411</v>
      </c>
      <c r="AG60" s="19">
        <f t="shared" si="7"/>
        <v>4.9246153846153842</v>
      </c>
      <c r="AH60" s="19">
        <f t="shared" si="8"/>
        <v>41.795769230769224</v>
      </c>
      <c r="AI60" s="19">
        <f t="shared" si="9"/>
        <v>295.5530769230769</v>
      </c>
      <c r="AJ60" s="19">
        <f t="shared" si="10"/>
        <v>295.5530769230769</v>
      </c>
      <c r="AN60" s="19">
        <f t="shared" si="11"/>
        <v>4.2244929852749982</v>
      </c>
      <c r="AO60" s="19">
        <f t="shared" si="12"/>
        <v>35.853751032243736</v>
      </c>
      <c r="AP60" s="19">
        <f t="shared" si="13"/>
        <v>253.53490632761242</v>
      </c>
      <c r="AQ60" s="19">
        <f t="shared" si="14"/>
        <v>253.53490632761242</v>
      </c>
    </row>
    <row r="61" spans="1:43" x14ac:dyDescent="0.45">
      <c r="A61" s="21">
        <v>1863</v>
      </c>
      <c r="B61" s="41">
        <v>1.4371986444749993</v>
      </c>
      <c r="C61" s="41">
        <v>11.236280311349995</v>
      </c>
      <c r="D61" s="41">
        <v>66.285343542149974</v>
      </c>
      <c r="E61" s="43">
        <v>66.285343542149974</v>
      </c>
      <c r="F61" s="19" t="s">
        <v>85</v>
      </c>
      <c r="G61" s="19" t="s">
        <v>86</v>
      </c>
      <c r="H61" s="19" t="s">
        <v>88</v>
      </c>
      <c r="L61" s="54">
        <v>1.6324080000000001</v>
      </c>
      <c r="M61" s="55">
        <v>12.723129999999999</v>
      </c>
      <c r="N61" s="55">
        <v>75.05247</v>
      </c>
      <c r="O61" s="56">
        <v>78.805090000000007</v>
      </c>
      <c r="S61" s="19">
        <v>1.32</v>
      </c>
      <c r="T61" s="19">
        <v>10.32</v>
      </c>
      <c r="U61" s="19">
        <v>60.88</v>
      </c>
      <c r="V61" s="19">
        <v>60.88</v>
      </c>
      <c r="Z61" s="19">
        <f t="shared" si="3"/>
        <v>1.212820512820513</v>
      </c>
      <c r="AA61" s="19">
        <f t="shared" si="4"/>
        <v>9.4820512820512821</v>
      </c>
      <c r="AB61" s="19">
        <f t="shared" si="5"/>
        <v>55.936752136752141</v>
      </c>
      <c r="AC61" s="19">
        <f t="shared" si="6"/>
        <v>55.936752136752141</v>
      </c>
      <c r="AG61" s="19">
        <f t="shared" si="7"/>
        <v>1.6753846153846155</v>
      </c>
      <c r="AH61" s="19">
        <f t="shared" si="8"/>
        <v>13.098461538461539</v>
      </c>
      <c r="AI61" s="19">
        <f t="shared" si="9"/>
        <v>77.270769230769233</v>
      </c>
      <c r="AJ61" s="19">
        <f t="shared" si="10"/>
        <v>77.270769230769233</v>
      </c>
      <c r="AN61" s="19">
        <f t="shared" si="11"/>
        <v>1.4371986444749993</v>
      </c>
      <c r="AO61" s="19">
        <f t="shared" si="12"/>
        <v>11.236280311349995</v>
      </c>
      <c r="AP61" s="19">
        <f t="shared" si="13"/>
        <v>66.285343542149974</v>
      </c>
      <c r="AQ61" s="19">
        <f t="shared" si="14"/>
        <v>66.285343542149974</v>
      </c>
    </row>
    <row r="62" spans="1:43" x14ac:dyDescent="0.45">
      <c r="A62" s="21">
        <v>1864</v>
      </c>
      <c r="B62" s="41">
        <v>22.167700304174989</v>
      </c>
      <c r="C62" s="41">
        <v>55.419250760437478</v>
      </c>
      <c r="D62" s="41">
        <v>200.38033221907494</v>
      </c>
      <c r="E62" s="43">
        <v>200.38033221907494</v>
      </c>
      <c r="F62" s="19" t="s">
        <v>85</v>
      </c>
      <c r="G62" s="19" t="s">
        <v>86</v>
      </c>
      <c r="H62" s="19" t="s">
        <v>89</v>
      </c>
      <c r="L62" s="54">
        <v>25.101220000000001</v>
      </c>
      <c r="M62" s="55">
        <v>62.753059999999998</v>
      </c>
      <c r="N62" s="55">
        <v>226.88079999999999</v>
      </c>
      <c r="O62" s="56">
        <v>238.22489999999999</v>
      </c>
      <c r="S62" s="19">
        <v>20.36</v>
      </c>
      <c r="T62" s="19">
        <v>50.9</v>
      </c>
      <c r="U62" s="19">
        <v>184.04</v>
      </c>
      <c r="V62" s="19">
        <v>184.04</v>
      </c>
      <c r="Z62" s="19">
        <f t="shared" si="3"/>
        <v>18.706837606837606</v>
      </c>
      <c r="AA62" s="19">
        <f t="shared" si="4"/>
        <v>46.767094017094017</v>
      </c>
      <c r="AB62" s="19">
        <f t="shared" si="5"/>
        <v>169.09658119658118</v>
      </c>
      <c r="AC62" s="19">
        <f t="shared" si="6"/>
        <v>169.09658119658118</v>
      </c>
      <c r="AG62" s="19">
        <f t="shared" si="7"/>
        <v>25.841538461538462</v>
      </c>
      <c r="AH62" s="19">
        <f t="shared" si="8"/>
        <v>64.603846153846149</v>
      </c>
      <c r="AI62" s="19">
        <f t="shared" si="9"/>
        <v>233.58923076923077</v>
      </c>
      <c r="AJ62" s="19">
        <f t="shared" si="10"/>
        <v>233.58923076923077</v>
      </c>
      <c r="AN62" s="19">
        <f t="shared" si="11"/>
        <v>22.167700304174989</v>
      </c>
      <c r="AO62" s="19">
        <f t="shared" si="12"/>
        <v>55.419250760437478</v>
      </c>
      <c r="AP62" s="19">
        <f t="shared" si="13"/>
        <v>200.38033221907494</v>
      </c>
      <c r="AQ62" s="19">
        <f t="shared" si="14"/>
        <v>200.38033221907494</v>
      </c>
    </row>
    <row r="63" spans="1:43" x14ac:dyDescent="0.45">
      <c r="A63" s="21">
        <v>1865</v>
      </c>
      <c r="B63" s="41">
        <v>3.1792576074749985</v>
      </c>
      <c r="C63" s="41">
        <v>124.54632798598121</v>
      </c>
      <c r="D63" s="41">
        <v>405.09403610861239</v>
      </c>
      <c r="E63" s="43">
        <v>405.09403610861239</v>
      </c>
      <c r="F63" s="19" t="s">
        <v>85</v>
      </c>
      <c r="G63" s="19" t="s">
        <v>86</v>
      </c>
      <c r="H63" s="19" t="s">
        <v>90</v>
      </c>
      <c r="L63" s="54">
        <v>3.6009500000000001</v>
      </c>
      <c r="M63" s="55">
        <v>141.01320000000001</v>
      </c>
      <c r="N63" s="55">
        <v>458.66219999999998</v>
      </c>
      <c r="O63" s="56">
        <v>481.59530000000001</v>
      </c>
      <c r="S63" s="19">
        <v>2.92</v>
      </c>
      <c r="T63" s="19">
        <v>114.39</v>
      </c>
      <c r="U63" s="19">
        <v>372.06</v>
      </c>
      <c r="V63" s="19">
        <v>372.06</v>
      </c>
      <c r="Z63" s="19">
        <f t="shared" si="3"/>
        <v>2.6829059829059827</v>
      </c>
      <c r="AA63" s="19">
        <f t="shared" si="4"/>
        <v>105.10192307692307</v>
      </c>
      <c r="AB63" s="19">
        <f t="shared" si="5"/>
        <v>341.84999999999997</v>
      </c>
      <c r="AC63" s="19">
        <f t="shared" si="6"/>
        <v>341.84999999999997</v>
      </c>
      <c r="AG63" s="19">
        <f t="shared" si="7"/>
        <v>3.7061538461538461</v>
      </c>
      <c r="AH63" s="19">
        <f t="shared" si="8"/>
        <v>145.18730769230771</v>
      </c>
      <c r="AI63" s="19">
        <f t="shared" si="9"/>
        <v>472.23</v>
      </c>
      <c r="AJ63" s="19">
        <f t="shared" si="10"/>
        <v>472.23</v>
      </c>
      <c r="AN63" s="19">
        <f t="shared" si="11"/>
        <v>3.1792576074749985</v>
      </c>
      <c r="AO63" s="19">
        <f t="shared" si="12"/>
        <v>124.54632798598121</v>
      </c>
      <c r="AP63" s="19">
        <f t="shared" si="13"/>
        <v>405.09403610861239</v>
      </c>
      <c r="AQ63" s="19">
        <f t="shared" si="14"/>
        <v>405.09403610861239</v>
      </c>
    </row>
    <row r="64" spans="1:43" x14ac:dyDescent="0.45">
      <c r="A64" s="21">
        <v>1870</v>
      </c>
      <c r="B64" s="41">
        <v>2.3626674685687488</v>
      </c>
      <c r="C64" s="41">
        <v>10.343475092812495</v>
      </c>
      <c r="D64" s="41">
        <v>60.264352251281224</v>
      </c>
      <c r="E64" s="43">
        <v>60.264352251281224</v>
      </c>
      <c r="F64" s="19" t="s">
        <v>85</v>
      </c>
      <c r="G64" s="19" t="s">
        <v>91</v>
      </c>
      <c r="H64" s="19" t="s">
        <v>80</v>
      </c>
      <c r="L64" s="54">
        <v>2.672625</v>
      </c>
      <c r="M64" s="55">
        <v>11.71461</v>
      </c>
      <c r="N64" s="55">
        <v>68.227900000000005</v>
      </c>
      <c r="O64" s="56">
        <v>71.639290000000003</v>
      </c>
      <c r="S64" s="19">
        <v>2.17</v>
      </c>
      <c r="T64" s="19">
        <v>9.5</v>
      </c>
      <c r="U64" s="19">
        <v>55.35</v>
      </c>
      <c r="V64" s="19">
        <v>55.35</v>
      </c>
      <c r="Z64" s="19">
        <f t="shared" si="3"/>
        <v>1.9938034188034188</v>
      </c>
      <c r="AA64" s="19">
        <f t="shared" si="4"/>
        <v>8.7286324786324787</v>
      </c>
      <c r="AB64" s="19">
        <f t="shared" si="5"/>
        <v>50.855769230769234</v>
      </c>
      <c r="AC64" s="19">
        <f t="shared" si="6"/>
        <v>50.855769230769234</v>
      </c>
      <c r="AG64" s="19">
        <f t="shared" si="7"/>
        <v>2.7542307692307695</v>
      </c>
      <c r="AH64" s="19">
        <f t="shared" si="8"/>
        <v>12.057692307692308</v>
      </c>
      <c r="AI64" s="19">
        <f t="shared" si="9"/>
        <v>70.251923076923077</v>
      </c>
      <c r="AJ64" s="19">
        <f t="shared" si="10"/>
        <v>70.251923076923077</v>
      </c>
      <c r="AN64" s="19">
        <f t="shared" si="11"/>
        <v>2.3626674685687488</v>
      </c>
      <c r="AO64" s="19">
        <f t="shared" si="12"/>
        <v>10.343475092812495</v>
      </c>
      <c r="AP64" s="19">
        <f t="shared" si="13"/>
        <v>60.264352251281224</v>
      </c>
      <c r="AQ64" s="19">
        <f t="shared" si="14"/>
        <v>60.264352251281224</v>
      </c>
    </row>
    <row r="65" spans="1:43" x14ac:dyDescent="0.45">
      <c r="A65" s="21">
        <v>1871</v>
      </c>
      <c r="B65" s="41">
        <v>1.9380405963374994</v>
      </c>
      <c r="C65" s="41">
        <v>7.7957138594249979</v>
      </c>
      <c r="D65" s="41">
        <v>55.364811417843732</v>
      </c>
      <c r="E65" s="43">
        <v>55.364811417843732</v>
      </c>
      <c r="F65" s="19" t="s">
        <v>85</v>
      </c>
      <c r="G65" s="19" t="s">
        <v>91</v>
      </c>
      <c r="H65" s="19" t="s">
        <v>81</v>
      </c>
      <c r="L65" s="54">
        <v>2.191538</v>
      </c>
      <c r="M65" s="55">
        <v>8.8280879999999993</v>
      </c>
      <c r="N65" s="55">
        <v>62.685299999999998</v>
      </c>
      <c r="O65" s="56">
        <v>65.819559999999996</v>
      </c>
      <c r="S65" s="19">
        <v>1.78</v>
      </c>
      <c r="T65" s="19">
        <v>7.16</v>
      </c>
      <c r="U65" s="19">
        <v>50.85</v>
      </c>
      <c r="V65" s="19">
        <v>50.85</v>
      </c>
      <c r="Z65" s="19">
        <f t="shared" si="3"/>
        <v>1.6354700854700854</v>
      </c>
      <c r="AA65" s="19">
        <f t="shared" si="4"/>
        <v>6.5786324786324792</v>
      </c>
      <c r="AB65" s="19">
        <f t="shared" si="5"/>
        <v>46.721153846153847</v>
      </c>
      <c r="AC65" s="19">
        <f t="shared" si="6"/>
        <v>46.721153846153847</v>
      </c>
      <c r="AG65" s="19">
        <f t="shared" si="7"/>
        <v>2.2592307692307689</v>
      </c>
      <c r="AH65" s="19">
        <f t="shared" si="8"/>
        <v>9.0876923076923077</v>
      </c>
      <c r="AI65" s="19">
        <f t="shared" si="9"/>
        <v>64.540384615384625</v>
      </c>
      <c r="AJ65" s="19">
        <f t="shared" si="10"/>
        <v>64.540384615384625</v>
      </c>
      <c r="AN65" s="19">
        <f t="shared" si="11"/>
        <v>1.9380405963374994</v>
      </c>
      <c r="AO65" s="19">
        <f t="shared" si="12"/>
        <v>7.7957138594249979</v>
      </c>
      <c r="AP65" s="19">
        <f t="shared" si="13"/>
        <v>55.364811417843732</v>
      </c>
      <c r="AQ65" s="19">
        <f t="shared" si="14"/>
        <v>55.364811417843732</v>
      </c>
    </row>
    <row r="66" spans="1:43" x14ac:dyDescent="0.45">
      <c r="A66" s="21">
        <v>1872</v>
      </c>
      <c r="B66" s="41">
        <v>5.335055574187499</v>
      </c>
      <c r="C66" s="41">
        <v>24.367049744962493</v>
      </c>
      <c r="D66" s="41">
        <v>147.01888860868118</v>
      </c>
      <c r="E66" s="43">
        <v>147.01888860868118</v>
      </c>
      <c r="F66" s="19" t="s">
        <v>85</v>
      </c>
      <c r="G66" s="19" t="s">
        <v>91</v>
      </c>
      <c r="H66" s="19" t="s">
        <v>82</v>
      </c>
      <c r="L66" s="54">
        <v>6.0380719999999997</v>
      </c>
      <c r="M66" s="55">
        <v>27.58615</v>
      </c>
      <c r="N66" s="55">
        <v>166.45779999999999</v>
      </c>
      <c r="O66" s="56">
        <v>174.78059999999999</v>
      </c>
      <c r="S66" s="19">
        <v>4.9000000000000004</v>
      </c>
      <c r="T66" s="19">
        <v>22.38</v>
      </c>
      <c r="U66" s="19">
        <v>135.03</v>
      </c>
      <c r="V66" s="19">
        <v>135.03</v>
      </c>
      <c r="Z66" s="19">
        <f t="shared" si="3"/>
        <v>4.5021367521367521</v>
      </c>
      <c r="AA66" s="19">
        <f t="shared" si="4"/>
        <v>20.562820512820512</v>
      </c>
      <c r="AB66" s="19">
        <f t="shared" si="5"/>
        <v>124.06602564102565</v>
      </c>
      <c r="AC66" s="19">
        <f t="shared" si="6"/>
        <v>124.06602564102565</v>
      </c>
      <c r="AG66" s="19">
        <f t="shared" si="7"/>
        <v>6.2192307692307702</v>
      </c>
      <c r="AH66" s="19">
        <f t="shared" si="8"/>
        <v>28.405384615384612</v>
      </c>
      <c r="AI66" s="19">
        <f t="shared" si="9"/>
        <v>171.38423076923078</v>
      </c>
      <c r="AJ66" s="19">
        <f t="shared" si="10"/>
        <v>171.38423076923078</v>
      </c>
      <c r="AN66" s="19">
        <f t="shared" si="11"/>
        <v>5.335055574187499</v>
      </c>
      <c r="AO66" s="19">
        <f t="shared" si="12"/>
        <v>24.367049744962493</v>
      </c>
      <c r="AP66" s="19">
        <f t="shared" si="13"/>
        <v>147.01888860868118</v>
      </c>
      <c r="AQ66" s="19">
        <f t="shared" si="14"/>
        <v>147.01888860868118</v>
      </c>
    </row>
    <row r="67" spans="1:43" x14ac:dyDescent="0.45">
      <c r="A67" s="21">
        <v>1873</v>
      </c>
      <c r="B67" s="41">
        <v>4.0285113519374987</v>
      </c>
      <c r="C67" s="41">
        <v>20.327650524506247</v>
      </c>
      <c r="D67" s="41">
        <v>142.20645072339369</v>
      </c>
      <c r="E67" s="43">
        <v>142.20645072339369</v>
      </c>
      <c r="F67" s="19" t="s">
        <v>85</v>
      </c>
      <c r="G67" s="19" t="s">
        <v>91</v>
      </c>
      <c r="H67" s="19" t="s">
        <v>78</v>
      </c>
      <c r="L67" s="54">
        <v>4.5552010000000003</v>
      </c>
      <c r="M67" s="55">
        <v>23.010069999999999</v>
      </c>
      <c r="N67" s="55">
        <v>161.01329999999999</v>
      </c>
      <c r="O67" s="56">
        <v>169.06389999999999</v>
      </c>
      <c r="S67" s="19">
        <v>3.7</v>
      </c>
      <c r="T67" s="19">
        <v>18.670000000000002</v>
      </c>
      <c r="U67" s="19">
        <v>130.61000000000001</v>
      </c>
      <c r="V67" s="19">
        <v>130.61000000000001</v>
      </c>
      <c r="Z67" s="19">
        <f t="shared" ref="Z67:Z129" si="15">S67 *215 / 234</f>
        <v>3.3995726495726495</v>
      </c>
      <c r="AA67" s="19">
        <f t="shared" ref="AA67:AA129" si="16">T67 *215 / 234</f>
        <v>17.154059829059829</v>
      </c>
      <c r="AB67" s="19">
        <f t="shared" ref="AB67:AB129" si="17">U67 *215 / 234</f>
        <v>120.00491452991453</v>
      </c>
      <c r="AC67" s="19">
        <f t="shared" ref="AC67:AC129" si="18">V67 *215 / 234</f>
        <v>120.00491452991453</v>
      </c>
      <c r="AG67" s="19">
        <f t="shared" ref="AG67:AG129" si="19">S67 * 297 / 234</f>
        <v>4.6961538461538463</v>
      </c>
      <c r="AH67" s="19">
        <f t="shared" ref="AH67:AH129" si="20">T67 * 297 / 234</f>
        <v>23.696538461538463</v>
      </c>
      <c r="AI67" s="19">
        <f t="shared" ref="AI67:AI129" si="21">U67 * 297 / 234</f>
        <v>165.7742307692308</v>
      </c>
      <c r="AJ67" s="19">
        <f t="shared" ref="AJ67:AJ129" si="22">V67 * 297 / 234</f>
        <v>165.7742307692308</v>
      </c>
      <c r="AN67" s="19">
        <f t="shared" ref="AN67:AN129" si="23">S67 * 1.019*1.017*1.025*1.025</f>
        <v>4.0285113519374987</v>
      </c>
      <c r="AO67" s="19">
        <f t="shared" ref="AO67:AO129" si="24">T67 * 1.019*1.017*1.025*1.025</f>
        <v>20.327650524506247</v>
      </c>
      <c r="AP67" s="19">
        <f t="shared" ref="AP67:AP129" si="25">U67 * 1.019*1.017*1.025*1.025</f>
        <v>142.20645072339369</v>
      </c>
      <c r="AQ67" s="19">
        <f t="shared" ref="AQ67:AQ129" si="26">V67 * 1.019*1.017*1.025*1.025</f>
        <v>142.20645072339369</v>
      </c>
    </row>
    <row r="68" spans="1:43" x14ac:dyDescent="0.45">
      <c r="A68" s="21">
        <v>1878</v>
      </c>
      <c r="B68" s="41">
        <v>0.34841179259999988</v>
      </c>
      <c r="C68" s="41">
        <v>8.2747800742499962</v>
      </c>
      <c r="D68" s="41">
        <v>33.491083563674991</v>
      </c>
      <c r="E68" s="43">
        <v>33.491083563674991</v>
      </c>
      <c r="F68" s="19" t="s">
        <v>85</v>
      </c>
      <c r="G68" s="19" t="s">
        <v>92</v>
      </c>
      <c r="H68" s="19" t="s">
        <v>54</v>
      </c>
      <c r="L68" s="54">
        <v>0.393426</v>
      </c>
      <c r="M68" s="55">
        <v>9.3678349999999995</v>
      </c>
      <c r="N68" s="55">
        <v>37.915289999999999</v>
      </c>
      <c r="O68" s="56">
        <v>39.811050000000002</v>
      </c>
      <c r="S68" s="19">
        <v>0.32</v>
      </c>
      <c r="T68" s="19">
        <v>7.6</v>
      </c>
      <c r="U68" s="19">
        <v>30.76</v>
      </c>
      <c r="V68" s="19">
        <v>30.76</v>
      </c>
      <c r="Z68" s="19">
        <f t="shared" si="15"/>
        <v>0.29401709401709403</v>
      </c>
      <c r="AA68" s="19">
        <f t="shared" si="16"/>
        <v>6.982905982905983</v>
      </c>
      <c r="AB68" s="19">
        <f t="shared" si="17"/>
        <v>28.262393162393163</v>
      </c>
      <c r="AC68" s="19">
        <f t="shared" si="18"/>
        <v>28.262393162393163</v>
      </c>
      <c r="AG68" s="19">
        <f t="shared" si="19"/>
        <v>0.4061538461538462</v>
      </c>
      <c r="AH68" s="19">
        <f t="shared" si="20"/>
        <v>9.6461538461538456</v>
      </c>
      <c r="AI68" s="19">
        <f t="shared" si="21"/>
        <v>39.041538461538465</v>
      </c>
      <c r="AJ68" s="19">
        <f t="shared" si="22"/>
        <v>39.041538461538465</v>
      </c>
      <c r="AN68" s="19">
        <f t="shared" si="23"/>
        <v>0.34841179259999988</v>
      </c>
      <c r="AO68" s="19">
        <f t="shared" si="24"/>
        <v>8.2747800742499962</v>
      </c>
      <c r="AP68" s="19">
        <f t="shared" si="25"/>
        <v>33.491083563674991</v>
      </c>
      <c r="AQ68" s="19">
        <f t="shared" si="26"/>
        <v>33.491083563674991</v>
      </c>
    </row>
    <row r="69" spans="1:43" x14ac:dyDescent="0.45">
      <c r="A69" s="21">
        <v>1879</v>
      </c>
      <c r="B69" s="41">
        <v>0.51172982038124981</v>
      </c>
      <c r="C69" s="41">
        <v>10.680999016893747</v>
      </c>
      <c r="D69" s="41">
        <v>48.374799828806239</v>
      </c>
      <c r="E69" s="43">
        <v>48.374799828806239</v>
      </c>
      <c r="F69" s="19" t="s">
        <v>85</v>
      </c>
      <c r="G69" s="19" t="s">
        <v>92</v>
      </c>
      <c r="H69" s="19" t="s">
        <v>93</v>
      </c>
      <c r="L69" s="54">
        <v>0.57461960000000001</v>
      </c>
      <c r="M69" s="55">
        <v>12.099019999999999</v>
      </c>
      <c r="N69" s="55">
        <v>54.771979999999999</v>
      </c>
      <c r="O69" s="56">
        <v>57.510570000000001</v>
      </c>
      <c r="S69" s="19">
        <v>0.47</v>
      </c>
      <c r="T69" s="19">
        <v>9.81</v>
      </c>
      <c r="U69" s="19">
        <v>44.43</v>
      </c>
      <c r="V69" s="19">
        <v>44.43</v>
      </c>
      <c r="Z69" s="19">
        <f t="shared" si="15"/>
        <v>0.4318376068376068</v>
      </c>
      <c r="AA69" s="19">
        <f t="shared" si="16"/>
        <v>9.013461538461538</v>
      </c>
      <c r="AB69" s="19">
        <f t="shared" si="17"/>
        <v>40.822435897435902</v>
      </c>
      <c r="AC69" s="19">
        <f t="shared" si="18"/>
        <v>40.822435897435902</v>
      </c>
      <c r="AG69" s="19">
        <f t="shared" si="19"/>
        <v>0.59653846153846157</v>
      </c>
      <c r="AH69" s="19">
        <f t="shared" si="20"/>
        <v>12.451153846153847</v>
      </c>
      <c r="AI69" s="19">
        <f t="shared" si="21"/>
        <v>56.391923076923071</v>
      </c>
      <c r="AJ69" s="19">
        <f t="shared" si="22"/>
        <v>56.391923076923071</v>
      </c>
      <c r="AN69" s="19">
        <f t="shared" si="23"/>
        <v>0.51172982038124981</v>
      </c>
      <c r="AO69" s="19">
        <f t="shared" si="24"/>
        <v>10.680999016893747</v>
      </c>
      <c r="AP69" s="19">
        <f t="shared" si="25"/>
        <v>48.374799828806239</v>
      </c>
      <c r="AQ69" s="19">
        <f t="shared" si="26"/>
        <v>48.374799828806239</v>
      </c>
    </row>
    <row r="70" spans="1:43" x14ac:dyDescent="0.45">
      <c r="A70" s="21">
        <v>1881</v>
      </c>
      <c r="B70" s="41">
        <v>2.1122464926374991</v>
      </c>
      <c r="C70" s="41">
        <v>7.3819748557124969</v>
      </c>
      <c r="D70" s="41">
        <v>21.078913452299993</v>
      </c>
      <c r="E70" s="43">
        <v>21.078913452299993</v>
      </c>
      <c r="F70" s="19" t="s">
        <v>94</v>
      </c>
      <c r="G70" s="19" t="s">
        <v>30</v>
      </c>
      <c r="H70" s="19" t="s">
        <v>30</v>
      </c>
      <c r="L70" s="54">
        <v>2.3864830000000001</v>
      </c>
      <c r="M70" s="55">
        <v>8.3526889999999998</v>
      </c>
      <c r="N70" s="55">
        <v>23.864830000000001</v>
      </c>
      <c r="O70" s="56">
        <v>25.058070000000001</v>
      </c>
      <c r="S70" s="19">
        <v>1.94</v>
      </c>
      <c r="T70" s="19">
        <v>6.78</v>
      </c>
      <c r="U70" s="19">
        <v>19.36</v>
      </c>
      <c r="V70" s="19">
        <v>19.36</v>
      </c>
      <c r="Z70" s="19">
        <f t="shared" si="15"/>
        <v>1.7824786324786324</v>
      </c>
      <c r="AA70" s="19">
        <f t="shared" si="16"/>
        <v>6.2294871794871796</v>
      </c>
      <c r="AB70" s="19">
        <f t="shared" si="17"/>
        <v>17.788034188034185</v>
      </c>
      <c r="AC70" s="19">
        <f t="shared" si="18"/>
        <v>17.788034188034185</v>
      </c>
      <c r="AG70" s="19">
        <f t="shared" si="19"/>
        <v>2.4623076923076921</v>
      </c>
      <c r="AH70" s="19">
        <f t="shared" si="20"/>
        <v>8.6053846153846152</v>
      </c>
      <c r="AI70" s="19">
        <f t="shared" si="21"/>
        <v>24.572307692307692</v>
      </c>
      <c r="AJ70" s="19">
        <f t="shared" si="22"/>
        <v>24.572307692307692</v>
      </c>
      <c r="AN70" s="19">
        <f t="shared" si="23"/>
        <v>2.1122464926374991</v>
      </c>
      <c r="AO70" s="19">
        <f t="shared" si="24"/>
        <v>7.3819748557124969</v>
      </c>
      <c r="AP70" s="19">
        <f t="shared" si="25"/>
        <v>21.078913452299993</v>
      </c>
      <c r="AQ70" s="19">
        <f t="shared" si="26"/>
        <v>21.078913452299993</v>
      </c>
    </row>
    <row r="71" spans="1:43" x14ac:dyDescent="0.45">
      <c r="A71" s="21">
        <v>1883</v>
      </c>
      <c r="B71" s="41">
        <v>1.8509376481874993</v>
      </c>
      <c r="C71" s="41">
        <v>6.7940299556999975</v>
      </c>
      <c r="D71" s="41">
        <v>24.704573669043739</v>
      </c>
      <c r="E71" s="43">
        <v>24.704573669043739</v>
      </c>
      <c r="F71" s="19" t="s">
        <v>95</v>
      </c>
      <c r="G71" s="19" t="s">
        <v>96</v>
      </c>
      <c r="H71" s="19" t="s">
        <v>30</v>
      </c>
      <c r="L71" s="54">
        <v>2.09789</v>
      </c>
      <c r="M71" s="55">
        <v>7.6922639999999998</v>
      </c>
      <c r="N71" s="55">
        <v>27.971869999999999</v>
      </c>
      <c r="O71" s="56">
        <v>29.370460000000001</v>
      </c>
      <c r="S71" s="19">
        <v>1.7</v>
      </c>
      <c r="T71" s="19">
        <v>6.24</v>
      </c>
      <c r="U71" s="19">
        <v>22.69</v>
      </c>
      <c r="V71" s="19">
        <v>22.69</v>
      </c>
      <c r="Z71" s="19">
        <f t="shared" si="15"/>
        <v>1.561965811965812</v>
      </c>
      <c r="AA71" s="19">
        <f t="shared" si="16"/>
        <v>5.7333333333333343</v>
      </c>
      <c r="AB71" s="19">
        <f t="shared" si="17"/>
        <v>20.847649572649573</v>
      </c>
      <c r="AC71" s="19">
        <f t="shared" si="18"/>
        <v>20.847649572649573</v>
      </c>
      <c r="AG71" s="19">
        <f t="shared" si="19"/>
        <v>2.1576923076923076</v>
      </c>
      <c r="AH71" s="19">
        <f t="shared" si="20"/>
        <v>7.92</v>
      </c>
      <c r="AI71" s="19">
        <f t="shared" si="21"/>
        <v>28.798846153846156</v>
      </c>
      <c r="AJ71" s="19">
        <f t="shared" si="22"/>
        <v>28.798846153846156</v>
      </c>
      <c r="AN71" s="19">
        <f t="shared" si="23"/>
        <v>1.8509376481874993</v>
      </c>
      <c r="AO71" s="19">
        <f t="shared" si="24"/>
        <v>6.7940299556999975</v>
      </c>
      <c r="AP71" s="19">
        <f t="shared" si="25"/>
        <v>24.704573669043739</v>
      </c>
      <c r="AQ71" s="19">
        <f t="shared" si="26"/>
        <v>24.704573669043739</v>
      </c>
    </row>
    <row r="72" spans="1:43" x14ac:dyDescent="0.45">
      <c r="A72" s="21">
        <v>1885</v>
      </c>
      <c r="B72" s="41">
        <v>7.0988902742249973</v>
      </c>
      <c r="C72" s="41">
        <v>24.857003828306237</v>
      </c>
      <c r="D72" s="41">
        <v>71.010678479287478</v>
      </c>
      <c r="E72" s="43">
        <v>71.010678479287478</v>
      </c>
      <c r="F72" s="19" t="s">
        <v>95</v>
      </c>
      <c r="G72" s="19" t="s">
        <v>97</v>
      </c>
      <c r="H72" s="19" t="s">
        <v>30</v>
      </c>
      <c r="L72" s="54">
        <v>8.0397010000000009</v>
      </c>
      <c r="M72" s="55">
        <v>28.138950000000001</v>
      </c>
      <c r="N72" s="55">
        <v>80.397009999999995</v>
      </c>
      <c r="O72" s="56">
        <v>84.41686</v>
      </c>
      <c r="S72" s="19">
        <v>6.52</v>
      </c>
      <c r="T72" s="19">
        <v>22.83</v>
      </c>
      <c r="U72" s="19">
        <v>65.22</v>
      </c>
      <c r="V72" s="19">
        <v>65.22</v>
      </c>
      <c r="Z72" s="19">
        <f t="shared" si="15"/>
        <v>5.9905982905982906</v>
      </c>
      <c r="AA72" s="19">
        <f t="shared" si="16"/>
        <v>20.976282051282052</v>
      </c>
      <c r="AB72" s="19">
        <f t="shared" si="17"/>
        <v>59.924358974358974</v>
      </c>
      <c r="AC72" s="19">
        <f t="shared" si="18"/>
        <v>59.924358974358974</v>
      </c>
      <c r="AG72" s="19">
        <f t="shared" si="19"/>
        <v>8.2753846153846151</v>
      </c>
      <c r="AH72" s="19">
        <f t="shared" si="20"/>
        <v>28.976538461538457</v>
      </c>
      <c r="AI72" s="19">
        <f t="shared" si="21"/>
        <v>82.779230769230765</v>
      </c>
      <c r="AJ72" s="19">
        <f t="shared" si="22"/>
        <v>82.779230769230765</v>
      </c>
      <c r="AN72" s="19">
        <f t="shared" si="23"/>
        <v>7.0988902742249973</v>
      </c>
      <c r="AO72" s="19">
        <f t="shared" si="24"/>
        <v>24.857003828306237</v>
      </c>
      <c r="AP72" s="19">
        <f t="shared" si="25"/>
        <v>71.010678479287478</v>
      </c>
      <c r="AQ72" s="19">
        <f t="shared" si="26"/>
        <v>71.010678479287478</v>
      </c>
    </row>
    <row r="73" spans="1:43" x14ac:dyDescent="0.45">
      <c r="A73" s="21">
        <v>1887</v>
      </c>
      <c r="B73" s="41">
        <v>2.819957946356249</v>
      </c>
      <c r="C73" s="41">
        <v>9.8861846150249946</v>
      </c>
      <c r="D73" s="41">
        <v>28.243130937637492</v>
      </c>
      <c r="E73" s="43">
        <v>28.243130937637492</v>
      </c>
      <c r="F73" s="19" t="s">
        <v>95</v>
      </c>
      <c r="G73" s="19" t="s">
        <v>98</v>
      </c>
      <c r="H73" s="19" t="s">
        <v>99</v>
      </c>
      <c r="L73" s="54">
        <v>3.1981890000000002</v>
      </c>
      <c r="M73" s="55">
        <v>11.193659999999999</v>
      </c>
      <c r="N73" s="55">
        <v>31.98189</v>
      </c>
      <c r="O73" s="56">
        <v>33.58099</v>
      </c>
      <c r="S73" s="19">
        <v>2.59</v>
      </c>
      <c r="T73" s="19">
        <v>9.08</v>
      </c>
      <c r="U73" s="19">
        <v>25.94</v>
      </c>
      <c r="V73" s="19">
        <v>25.94</v>
      </c>
      <c r="Z73" s="19">
        <f t="shared" si="15"/>
        <v>2.3797008547008547</v>
      </c>
      <c r="AA73" s="19">
        <f t="shared" si="16"/>
        <v>8.3427350427350433</v>
      </c>
      <c r="AB73" s="19">
        <f t="shared" si="17"/>
        <v>23.833760683760687</v>
      </c>
      <c r="AC73" s="19">
        <f t="shared" si="18"/>
        <v>23.833760683760687</v>
      </c>
      <c r="AG73" s="19">
        <f t="shared" si="19"/>
        <v>3.2873076923076918</v>
      </c>
      <c r="AH73" s="19">
        <f t="shared" si="20"/>
        <v>11.524615384615386</v>
      </c>
      <c r="AI73" s="19">
        <f t="shared" si="21"/>
        <v>32.923846153846156</v>
      </c>
      <c r="AJ73" s="19">
        <f t="shared" si="22"/>
        <v>32.923846153846156</v>
      </c>
      <c r="AN73" s="19">
        <f t="shared" si="23"/>
        <v>2.819957946356249</v>
      </c>
      <c r="AO73" s="19">
        <f t="shared" si="24"/>
        <v>9.8861846150249946</v>
      </c>
      <c r="AP73" s="19">
        <f t="shared" si="25"/>
        <v>28.243130937637492</v>
      </c>
      <c r="AQ73" s="19">
        <f t="shared" si="26"/>
        <v>28.243130937637492</v>
      </c>
    </row>
    <row r="74" spans="1:43" x14ac:dyDescent="0.45">
      <c r="A74" s="21">
        <v>1889</v>
      </c>
      <c r="B74" s="41">
        <v>1.1758898000249995</v>
      </c>
      <c r="C74" s="41">
        <v>4.1156143000874978</v>
      </c>
      <c r="D74" s="41">
        <v>11.769785868768746</v>
      </c>
      <c r="E74" s="43">
        <v>11.769785868768746</v>
      </c>
      <c r="F74" s="19" t="s">
        <v>95</v>
      </c>
      <c r="G74" s="19" t="s">
        <v>100</v>
      </c>
      <c r="H74" s="19" t="s">
        <v>30</v>
      </c>
      <c r="L74" s="54">
        <v>1.332743</v>
      </c>
      <c r="M74" s="55">
        <v>4.6645989999999999</v>
      </c>
      <c r="N74" s="55">
        <v>13.32743</v>
      </c>
      <c r="O74" s="56">
        <v>13.9938</v>
      </c>
      <c r="S74" s="19">
        <v>1.08</v>
      </c>
      <c r="T74" s="19">
        <v>3.78</v>
      </c>
      <c r="U74" s="19">
        <v>10.81</v>
      </c>
      <c r="V74" s="19">
        <v>10.81</v>
      </c>
      <c r="Z74" s="19">
        <f t="shared" si="15"/>
        <v>0.99230769230769234</v>
      </c>
      <c r="AA74" s="19">
        <f t="shared" si="16"/>
        <v>3.4730769230769227</v>
      </c>
      <c r="AB74" s="19">
        <f t="shared" si="17"/>
        <v>9.9322649572649571</v>
      </c>
      <c r="AC74" s="19">
        <f t="shared" si="18"/>
        <v>9.9322649572649571</v>
      </c>
      <c r="AG74" s="19">
        <f t="shared" si="19"/>
        <v>1.370769230769231</v>
      </c>
      <c r="AH74" s="19">
        <f t="shared" si="20"/>
        <v>4.7976923076923068</v>
      </c>
      <c r="AI74" s="19">
        <f t="shared" si="21"/>
        <v>13.720384615384615</v>
      </c>
      <c r="AJ74" s="19">
        <f t="shared" si="22"/>
        <v>13.720384615384615</v>
      </c>
      <c r="AN74" s="19">
        <f t="shared" si="23"/>
        <v>1.1758898000249995</v>
      </c>
      <c r="AO74" s="19">
        <f t="shared" si="24"/>
        <v>4.1156143000874978</v>
      </c>
      <c r="AP74" s="19">
        <f t="shared" si="25"/>
        <v>11.769785868768746</v>
      </c>
      <c r="AQ74" s="19">
        <f t="shared" si="26"/>
        <v>11.769785868768746</v>
      </c>
    </row>
    <row r="75" spans="1:43" x14ac:dyDescent="0.45">
      <c r="A75" s="21">
        <v>1892</v>
      </c>
      <c r="B75" s="41">
        <v>3.1357061333999985</v>
      </c>
      <c r="C75" s="41">
        <v>15.700306404037493</v>
      </c>
      <c r="D75" s="41">
        <v>62.790337747631227</v>
      </c>
      <c r="E75" s="43">
        <v>62.790337747631227</v>
      </c>
      <c r="F75" s="19" t="s">
        <v>95</v>
      </c>
      <c r="G75" s="19" t="s">
        <v>101</v>
      </c>
      <c r="H75" s="19" t="s">
        <v>102</v>
      </c>
      <c r="L75" s="54">
        <v>3.5545789999999999</v>
      </c>
      <c r="M75" s="55">
        <v>17.77289</v>
      </c>
      <c r="N75" s="55">
        <v>71.091570000000004</v>
      </c>
      <c r="O75" s="56">
        <v>74.646150000000006</v>
      </c>
      <c r="S75" s="19">
        <v>2.88</v>
      </c>
      <c r="T75" s="19">
        <v>14.42</v>
      </c>
      <c r="U75" s="19">
        <v>57.67</v>
      </c>
      <c r="V75" s="19">
        <v>57.67</v>
      </c>
      <c r="Z75" s="19">
        <f t="shared" si="15"/>
        <v>2.6461538461538461</v>
      </c>
      <c r="AA75" s="19">
        <f t="shared" si="16"/>
        <v>13.249145299145299</v>
      </c>
      <c r="AB75" s="19">
        <f t="shared" si="17"/>
        <v>52.987393162393168</v>
      </c>
      <c r="AC75" s="19">
        <f t="shared" si="18"/>
        <v>52.987393162393168</v>
      </c>
      <c r="AG75" s="19">
        <f t="shared" si="19"/>
        <v>3.6553846153846155</v>
      </c>
      <c r="AH75" s="19">
        <f t="shared" si="20"/>
        <v>18.302307692307693</v>
      </c>
      <c r="AI75" s="19">
        <f t="shared" si="21"/>
        <v>73.196538461538466</v>
      </c>
      <c r="AJ75" s="19">
        <f t="shared" si="22"/>
        <v>73.196538461538466</v>
      </c>
      <c r="AN75" s="19">
        <f t="shared" si="23"/>
        <v>3.1357061333999985</v>
      </c>
      <c r="AO75" s="19">
        <f t="shared" si="24"/>
        <v>15.700306404037493</v>
      </c>
      <c r="AP75" s="19">
        <f t="shared" si="25"/>
        <v>62.790337747631227</v>
      </c>
      <c r="AQ75" s="19">
        <f t="shared" si="26"/>
        <v>62.790337747631227</v>
      </c>
    </row>
    <row r="76" spans="1:43" x14ac:dyDescent="0.45">
      <c r="A76" s="21">
        <v>1893</v>
      </c>
      <c r="B76" s="41">
        <v>7.9372561501687473</v>
      </c>
      <c r="C76" s="41">
        <v>29.09238468209999</v>
      </c>
      <c r="D76" s="41">
        <v>105.79741839669371</v>
      </c>
      <c r="E76" s="43">
        <v>105.79741839669371</v>
      </c>
      <c r="F76" s="19" t="s">
        <v>95</v>
      </c>
      <c r="G76" s="19" t="s">
        <v>101</v>
      </c>
      <c r="H76" s="19" t="s">
        <v>103</v>
      </c>
      <c r="L76" s="54">
        <v>8.9842180000000003</v>
      </c>
      <c r="M76" s="55">
        <v>32.942129999999999</v>
      </c>
      <c r="N76" s="55">
        <v>119.78959999999999</v>
      </c>
      <c r="O76" s="56">
        <v>125.7791</v>
      </c>
      <c r="S76" s="19">
        <v>7.29</v>
      </c>
      <c r="T76" s="19">
        <v>26.72</v>
      </c>
      <c r="U76" s="19">
        <v>97.17</v>
      </c>
      <c r="V76" s="19">
        <v>97.17</v>
      </c>
      <c r="Z76" s="19">
        <f t="shared" si="15"/>
        <v>6.6980769230769228</v>
      </c>
      <c r="AA76" s="19">
        <f t="shared" si="16"/>
        <v>24.550427350427352</v>
      </c>
      <c r="AB76" s="19">
        <f t="shared" si="17"/>
        <v>89.280128205128207</v>
      </c>
      <c r="AC76" s="19">
        <f t="shared" si="18"/>
        <v>89.280128205128207</v>
      </c>
      <c r="AG76" s="19">
        <f t="shared" si="19"/>
        <v>9.2526923076923087</v>
      </c>
      <c r="AH76" s="19">
        <f t="shared" si="20"/>
        <v>33.913846153846151</v>
      </c>
      <c r="AI76" s="19">
        <f t="shared" si="21"/>
        <v>123.33115384615385</v>
      </c>
      <c r="AJ76" s="19">
        <f t="shared" si="22"/>
        <v>123.33115384615385</v>
      </c>
      <c r="AN76" s="19">
        <f t="shared" si="23"/>
        <v>7.9372561501687473</v>
      </c>
      <c r="AO76" s="19">
        <f t="shared" si="24"/>
        <v>29.09238468209999</v>
      </c>
      <c r="AP76" s="19">
        <f t="shared" si="25"/>
        <v>105.79741839669371</v>
      </c>
      <c r="AQ76" s="19">
        <f t="shared" si="26"/>
        <v>105.79741839669371</v>
      </c>
    </row>
    <row r="77" spans="1:43" x14ac:dyDescent="0.45">
      <c r="A77" s="21">
        <v>1897</v>
      </c>
      <c r="B77" s="41">
        <v>9.4724456113124944</v>
      </c>
      <c r="C77" s="41">
        <v>41.036376447168728</v>
      </c>
      <c r="D77" s="41">
        <v>126.26661121194371</v>
      </c>
      <c r="E77" s="43">
        <v>126.26661121194371</v>
      </c>
      <c r="F77" s="19" t="s">
        <v>104</v>
      </c>
      <c r="G77" s="19" t="s">
        <v>105</v>
      </c>
      <c r="H77" s="19" t="s">
        <v>30</v>
      </c>
      <c r="L77" s="54">
        <v>10.721780000000001</v>
      </c>
      <c r="M77" s="55">
        <v>46.46105</v>
      </c>
      <c r="N77" s="55">
        <v>142.9571</v>
      </c>
      <c r="O77" s="56">
        <v>150.10489999999999</v>
      </c>
      <c r="S77" s="19">
        <v>8.6999999999999993</v>
      </c>
      <c r="T77" s="19">
        <v>37.69</v>
      </c>
      <c r="U77" s="19">
        <v>115.97</v>
      </c>
      <c r="V77" s="19">
        <v>115.97</v>
      </c>
      <c r="Z77" s="19">
        <f t="shared" si="15"/>
        <v>7.9935897435897427</v>
      </c>
      <c r="AA77" s="19">
        <f t="shared" si="16"/>
        <v>34.62970085470085</v>
      </c>
      <c r="AB77" s="19">
        <f t="shared" si="17"/>
        <v>106.55363247863248</v>
      </c>
      <c r="AC77" s="19">
        <f t="shared" si="18"/>
        <v>106.55363247863248</v>
      </c>
      <c r="AG77" s="19">
        <f t="shared" si="19"/>
        <v>11.042307692307691</v>
      </c>
      <c r="AH77" s="19">
        <f t="shared" si="20"/>
        <v>47.837307692307682</v>
      </c>
      <c r="AI77" s="19">
        <f t="shared" si="21"/>
        <v>147.19269230769228</v>
      </c>
      <c r="AJ77" s="19">
        <f t="shared" si="22"/>
        <v>147.19269230769228</v>
      </c>
      <c r="AN77" s="19">
        <f t="shared" si="23"/>
        <v>9.4724456113124944</v>
      </c>
      <c r="AO77" s="19">
        <f t="shared" si="24"/>
        <v>41.036376447168728</v>
      </c>
      <c r="AP77" s="19">
        <f t="shared" si="25"/>
        <v>126.26661121194371</v>
      </c>
      <c r="AQ77" s="19">
        <f t="shared" si="26"/>
        <v>126.26661121194371</v>
      </c>
    </row>
    <row r="78" spans="1:43" x14ac:dyDescent="0.45">
      <c r="A78" s="21">
        <v>1900</v>
      </c>
      <c r="B78" s="41">
        <v>3.6583238222999985</v>
      </c>
      <c r="C78" s="41">
        <v>18.302506980018741</v>
      </c>
      <c r="D78" s="41">
        <v>63.650479360612479</v>
      </c>
      <c r="E78" s="43">
        <v>63.650479360612479</v>
      </c>
      <c r="F78" s="19" t="s">
        <v>104</v>
      </c>
      <c r="G78" s="19" t="s">
        <v>106</v>
      </c>
      <c r="H78" s="19" t="s">
        <v>30</v>
      </c>
      <c r="L78" s="54">
        <v>4.1442019999999999</v>
      </c>
      <c r="M78" s="55">
        <v>20.72101</v>
      </c>
      <c r="N78" s="55">
        <v>72.073080000000004</v>
      </c>
      <c r="O78" s="56">
        <v>75.676739999999995</v>
      </c>
      <c r="S78" s="19">
        <v>3.36</v>
      </c>
      <c r="T78" s="19">
        <v>16.809999999999999</v>
      </c>
      <c r="U78" s="19">
        <v>58.46</v>
      </c>
      <c r="V78" s="19">
        <v>58.46</v>
      </c>
      <c r="Z78" s="19">
        <f t="shared" si="15"/>
        <v>3.0871794871794869</v>
      </c>
      <c r="AA78" s="19">
        <f t="shared" si="16"/>
        <v>15.445085470085468</v>
      </c>
      <c r="AB78" s="19">
        <f t="shared" si="17"/>
        <v>53.713247863247865</v>
      </c>
      <c r="AC78" s="19">
        <f t="shared" si="18"/>
        <v>53.713247863247865</v>
      </c>
      <c r="AG78" s="19">
        <f t="shared" si="19"/>
        <v>4.264615384615384</v>
      </c>
      <c r="AH78" s="19">
        <f t="shared" si="20"/>
        <v>21.33576923076923</v>
      </c>
      <c r="AI78" s="19">
        <f t="shared" si="21"/>
        <v>74.199230769230766</v>
      </c>
      <c r="AJ78" s="19">
        <f t="shared" si="22"/>
        <v>74.199230769230766</v>
      </c>
      <c r="AN78" s="19">
        <f t="shared" si="23"/>
        <v>3.6583238222999985</v>
      </c>
      <c r="AO78" s="19">
        <f t="shared" si="24"/>
        <v>18.302506980018741</v>
      </c>
      <c r="AP78" s="19">
        <f t="shared" si="25"/>
        <v>63.650479360612479</v>
      </c>
      <c r="AQ78" s="19">
        <f t="shared" si="26"/>
        <v>63.650479360612479</v>
      </c>
    </row>
    <row r="79" spans="1:43" x14ac:dyDescent="0.45">
      <c r="A79" s="21">
        <v>1903</v>
      </c>
      <c r="B79" s="41">
        <v>9.8317452724312453</v>
      </c>
      <c r="C79" s="41">
        <v>42.593341645349987</v>
      </c>
      <c r="D79" s="41">
        <v>113.97420765427496</v>
      </c>
      <c r="E79" s="43">
        <v>113.97420765427496</v>
      </c>
      <c r="F79" s="19" t="s">
        <v>104</v>
      </c>
      <c r="G79" s="19" t="s">
        <v>107</v>
      </c>
      <c r="H79" s="19" t="s">
        <v>30</v>
      </c>
      <c r="L79" s="54">
        <v>11.13012</v>
      </c>
      <c r="M79" s="55">
        <v>48.230510000000002</v>
      </c>
      <c r="N79" s="55">
        <v>129.04490000000001</v>
      </c>
      <c r="O79" s="56">
        <v>135.49709999999999</v>
      </c>
      <c r="S79" s="19">
        <v>9.0299999999999994</v>
      </c>
      <c r="T79" s="19">
        <v>39.119999999999997</v>
      </c>
      <c r="U79" s="19">
        <v>104.68</v>
      </c>
      <c r="V79" s="19">
        <v>104.68</v>
      </c>
      <c r="Z79" s="19">
        <f t="shared" si="15"/>
        <v>8.2967948717948712</v>
      </c>
      <c r="AA79" s="19">
        <f t="shared" si="16"/>
        <v>35.94358974358974</v>
      </c>
      <c r="AB79" s="19">
        <f t="shared" si="17"/>
        <v>96.180341880341885</v>
      </c>
      <c r="AC79" s="19">
        <f t="shared" si="18"/>
        <v>96.180341880341885</v>
      </c>
      <c r="AG79" s="19">
        <f t="shared" si="19"/>
        <v>11.461153846153845</v>
      </c>
      <c r="AH79" s="19">
        <f t="shared" si="20"/>
        <v>49.652307692307687</v>
      </c>
      <c r="AI79" s="19">
        <f t="shared" si="21"/>
        <v>132.86307692307693</v>
      </c>
      <c r="AJ79" s="19">
        <f t="shared" si="22"/>
        <v>132.86307692307693</v>
      </c>
      <c r="AN79" s="19">
        <f t="shared" si="23"/>
        <v>9.8317452724312453</v>
      </c>
      <c r="AO79" s="19">
        <f t="shared" si="24"/>
        <v>42.593341645349987</v>
      </c>
      <c r="AP79" s="19">
        <f t="shared" si="25"/>
        <v>113.97420765427496</v>
      </c>
      <c r="AQ79" s="19">
        <f t="shared" si="26"/>
        <v>113.97420765427496</v>
      </c>
    </row>
    <row r="80" spans="1:43" x14ac:dyDescent="0.45">
      <c r="A80" s="21">
        <v>1905</v>
      </c>
      <c r="B80" s="41">
        <v>1.6658438833687494</v>
      </c>
      <c r="C80" s="41">
        <v>8.3401072853624978</v>
      </c>
      <c r="D80" s="41">
        <v>29.016169602468736</v>
      </c>
      <c r="E80" s="43">
        <v>29.016169602468736</v>
      </c>
      <c r="F80" s="19" t="s">
        <v>104</v>
      </c>
      <c r="G80" s="19" t="s">
        <v>108</v>
      </c>
      <c r="H80" s="19" t="s">
        <v>30</v>
      </c>
      <c r="L80" s="54">
        <v>1.8887780000000001</v>
      </c>
      <c r="M80" s="55">
        <v>9.443892</v>
      </c>
      <c r="N80" s="55">
        <v>32.848320000000001</v>
      </c>
      <c r="O80" s="56">
        <v>34.490740000000002</v>
      </c>
      <c r="S80" s="19">
        <v>1.53</v>
      </c>
      <c r="T80" s="19">
        <v>7.66</v>
      </c>
      <c r="U80" s="19">
        <v>26.65</v>
      </c>
      <c r="V80" s="19">
        <v>26.65</v>
      </c>
      <c r="Z80" s="19">
        <f t="shared" si="15"/>
        <v>1.4057692307692307</v>
      </c>
      <c r="AA80" s="19">
        <f t="shared" si="16"/>
        <v>7.0380341880341888</v>
      </c>
      <c r="AB80" s="19">
        <f t="shared" si="17"/>
        <v>24.486111111111111</v>
      </c>
      <c r="AC80" s="19">
        <f t="shared" si="18"/>
        <v>24.486111111111111</v>
      </c>
      <c r="AG80" s="19">
        <f t="shared" si="19"/>
        <v>1.9419230769230771</v>
      </c>
      <c r="AH80" s="19">
        <f t="shared" si="20"/>
        <v>9.7223076923076928</v>
      </c>
      <c r="AI80" s="19">
        <f t="shared" si="21"/>
        <v>33.824999999999996</v>
      </c>
      <c r="AJ80" s="19">
        <f t="shared" si="22"/>
        <v>33.824999999999996</v>
      </c>
      <c r="AN80" s="19">
        <f t="shared" si="23"/>
        <v>1.6658438833687494</v>
      </c>
      <c r="AO80" s="19">
        <f t="shared" si="24"/>
        <v>8.3401072853624978</v>
      </c>
      <c r="AP80" s="19">
        <f t="shared" si="25"/>
        <v>29.016169602468736</v>
      </c>
      <c r="AQ80" s="19">
        <f t="shared" si="26"/>
        <v>29.016169602468736</v>
      </c>
    </row>
    <row r="81" spans="1:43" x14ac:dyDescent="0.45">
      <c r="A81" s="21">
        <v>1907</v>
      </c>
      <c r="B81" s="41">
        <v>0.89280521853749961</v>
      </c>
      <c r="C81" s="41">
        <v>3.8869690611937484</v>
      </c>
      <c r="D81" s="41">
        <v>10.408802303924997</v>
      </c>
      <c r="E81" s="43">
        <v>10.408802303924997</v>
      </c>
      <c r="F81" s="19" t="s">
        <v>104</v>
      </c>
      <c r="G81" s="19" t="s">
        <v>109</v>
      </c>
      <c r="H81" s="19" t="s">
        <v>30</v>
      </c>
      <c r="L81" s="54">
        <v>1.016607</v>
      </c>
      <c r="M81" s="55">
        <v>4.4052980000000002</v>
      </c>
      <c r="N81" s="55">
        <v>11.78675</v>
      </c>
      <c r="O81" s="56">
        <v>12.37609</v>
      </c>
      <c r="S81" s="19">
        <v>0.82</v>
      </c>
      <c r="T81" s="19">
        <v>3.57</v>
      </c>
      <c r="U81" s="19">
        <v>9.56</v>
      </c>
      <c r="V81" s="19">
        <v>9.56</v>
      </c>
      <c r="Z81" s="19">
        <f t="shared" si="15"/>
        <v>0.7534188034188033</v>
      </c>
      <c r="AA81" s="19">
        <f t="shared" si="16"/>
        <v>3.280128205128205</v>
      </c>
      <c r="AB81" s="19">
        <f t="shared" si="17"/>
        <v>8.7837606837606845</v>
      </c>
      <c r="AC81" s="19">
        <f t="shared" si="18"/>
        <v>8.7837606837606845</v>
      </c>
      <c r="AG81" s="19">
        <f t="shared" si="19"/>
        <v>1.0407692307692307</v>
      </c>
      <c r="AH81" s="19">
        <f t="shared" si="20"/>
        <v>4.5311538461538463</v>
      </c>
      <c r="AI81" s="19">
        <f t="shared" si="21"/>
        <v>12.133846153846154</v>
      </c>
      <c r="AJ81" s="19">
        <f t="shared" si="22"/>
        <v>12.133846153846154</v>
      </c>
      <c r="AN81" s="19">
        <f t="shared" si="23"/>
        <v>0.89280521853749961</v>
      </c>
      <c r="AO81" s="19">
        <f t="shared" si="24"/>
        <v>3.8869690611937484</v>
      </c>
      <c r="AP81" s="19">
        <f t="shared" si="25"/>
        <v>10.408802303924997</v>
      </c>
      <c r="AQ81" s="19">
        <f t="shared" si="26"/>
        <v>10.408802303924997</v>
      </c>
    </row>
    <row r="82" spans="1:43" x14ac:dyDescent="0.45">
      <c r="A82" s="21">
        <v>1909</v>
      </c>
      <c r="B82" s="41">
        <v>3661.2199953259865</v>
      </c>
      <c r="C82" s="41">
        <v>18306.089088761419</v>
      </c>
      <c r="D82" s="41">
        <v>73224.345467177132</v>
      </c>
      <c r="E82" s="43">
        <v>73224.345467177132</v>
      </c>
      <c r="F82" s="19" t="s">
        <v>104</v>
      </c>
      <c r="G82" s="19" t="s">
        <v>110</v>
      </c>
      <c r="H82" s="19" t="s">
        <v>30</v>
      </c>
      <c r="L82" s="54">
        <v>4145.3450000000003</v>
      </c>
      <c r="M82" s="55">
        <v>20726.73</v>
      </c>
      <c r="N82" s="55">
        <v>82906.899999999994</v>
      </c>
      <c r="O82" s="56">
        <v>87052.25</v>
      </c>
      <c r="S82" s="19">
        <v>3362.66</v>
      </c>
      <c r="T82" s="19">
        <v>16813.29</v>
      </c>
      <c r="U82" s="19">
        <v>67253.149999999994</v>
      </c>
      <c r="V82" s="19">
        <v>67253.149999999994</v>
      </c>
      <c r="Z82" s="19">
        <f t="shared" si="15"/>
        <v>3089.6235042735043</v>
      </c>
      <c r="AA82" s="19">
        <f t="shared" si="16"/>
        <v>15448.108333333334</v>
      </c>
      <c r="AB82" s="19">
        <f t="shared" si="17"/>
        <v>61792.424145299141</v>
      </c>
      <c r="AC82" s="19">
        <f t="shared" si="18"/>
        <v>61792.424145299141</v>
      </c>
      <c r="AG82" s="19">
        <f t="shared" si="19"/>
        <v>4267.9915384615379</v>
      </c>
      <c r="AH82" s="19">
        <f t="shared" si="20"/>
        <v>21339.945</v>
      </c>
      <c r="AI82" s="19">
        <f t="shared" si="21"/>
        <v>85359.767307692295</v>
      </c>
      <c r="AJ82" s="19">
        <f t="shared" si="22"/>
        <v>85359.767307692295</v>
      </c>
      <c r="AN82" s="19">
        <f t="shared" si="23"/>
        <v>3661.2199953259865</v>
      </c>
      <c r="AO82" s="19">
        <f t="shared" si="24"/>
        <v>18306.089088761419</v>
      </c>
      <c r="AP82" s="19">
        <f t="shared" si="25"/>
        <v>73224.345467177132</v>
      </c>
      <c r="AQ82" s="19">
        <f t="shared" si="26"/>
        <v>73224.345467177132</v>
      </c>
    </row>
    <row r="83" spans="1:43" x14ac:dyDescent="0.45">
      <c r="A83" s="21">
        <v>1920</v>
      </c>
      <c r="B83" s="41">
        <v>1.5678530666999992</v>
      </c>
      <c r="C83" s="41">
        <v>6.2605243982812473</v>
      </c>
      <c r="D83" s="41">
        <v>31.302621991406237</v>
      </c>
      <c r="E83" s="43">
        <v>31.302621991406237</v>
      </c>
      <c r="F83" s="19" t="s">
        <v>111</v>
      </c>
      <c r="G83" s="19" t="s">
        <v>112</v>
      </c>
      <c r="H83" s="19" t="s">
        <v>54</v>
      </c>
      <c r="L83" s="54">
        <v>1.7721370000000001</v>
      </c>
      <c r="M83" s="55">
        <v>7.0885490000000004</v>
      </c>
      <c r="N83" s="55">
        <v>35.442740000000001</v>
      </c>
      <c r="O83" s="56">
        <v>37.214880000000001</v>
      </c>
      <c r="S83" s="19">
        <v>1.44</v>
      </c>
      <c r="T83" s="19">
        <v>5.75</v>
      </c>
      <c r="U83" s="19">
        <v>28.75</v>
      </c>
      <c r="V83" s="19">
        <v>28.75</v>
      </c>
      <c r="Z83" s="19">
        <f t="shared" si="15"/>
        <v>1.323076923076923</v>
      </c>
      <c r="AA83" s="19">
        <f t="shared" si="16"/>
        <v>5.2831196581196584</v>
      </c>
      <c r="AB83" s="19">
        <f t="shared" si="17"/>
        <v>26.41559829059829</v>
      </c>
      <c r="AC83" s="19">
        <f t="shared" si="18"/>
        <v>26.41559829059829</v>
      </c>
      <c r="AG83" s="19">
        <f t="shared" si="19"/>
        <v>1.8276923076923077</v>
      </c>
      <c r="AH83" s="19">
        <f t="shared" si="20"/>
        <v>7.2980769230769234</v>
      </c>
      <c r="AI83" s="19">
        <f t="shared" si="21"/>
        <v>36.490384615384613</v>
      </c>
      <c r="AJ83" s="19">
        <f t="shared" si="22"/>
        <v>36.490384615384613</v>
      </c>
      <c r="AN83" s="19">
        <f t="shared" si="23"/>
        <v>1.5678530666999992</v>
      </c>
      <c r="AO83" s="19">
        <f t="shared" si="24"/>
        <v>6.2605243982812473</v>
      </c>
      <c r="AP83" s="19">
        <f t="shared" si="25"/>
        <v>31.302621991406237</v>
      </c>
      <c r="AQ83" s="19">
        <f t="shared" si="26"/>
        <v>31.302621991406237</v>
      </c>
    </row>
    <row r="84" spans="1:43" x14ac:dyDescent="0.45">
      <c r="A84" s="21">
        <v>1922</v>
      </c>
      <c r="B84" s="41">
        <v>45.772599252824982</v>
      </c>
      <c r="C84" s="41">
        <v>160.22587312192493</v>
      </c>
      <c r="D84" s="41">
        <v>457.76954400232478</v>
      </c>
      <c r="E84" s="43">
        <v>457.76954400232478</v>
      </c>
      <c r="F84" s="19" t="s">
        <v>113</v>
      </c>
      <c r="G84" s="19" t="s">
        <v>114</v>
      </c>
      <c r="H84" s="19" t="s">
        <v>30</v>
      </c>
      <c r="L84" s="54">
        <v>51.830689999999997</v>
      </c>
      <c r="M84" s="55">
        <v>181.4074</v>
      </c>
      <c r="N84" s="55">
        <v>518.30690000000004</v>
      </c>
      <c r="O84" s="56">
        <v>544.22220000000004</v>
      </c>
      <c r="S84" s="19">
        <v>42.04</v>
      </c>
      <c r="T84" s="19">
        <v>147.16</v>
      </c>
      <c r="U84" s="19">
        <v>420.44</v>
      </c>
      <c r="V84" s="19">
        <v>420.44</v>
      </c>
      <c r="Z84" s="19">
        <f t="shared" si="15"/>
        <v>38.626495726495726</v>
      </c>
      <c r="AA84" s="19">
        <f t="shared" si="16"/>
        <v>135.21111111111111</v>
      </c>
      <c r="AB84" s="19">
        <f t="shared" si="17"/>
        <v>386.30170940170945</v>
      </c>
      <c r="AC84" s="19">
        <f t="shared" si="18"/>
        <v>386.30170940170945</v>
      </c>
      <c r="AG84" s="19">
        <f t="shared" si="19"/>
        <v>53.358461538461533</v>
      </c>
      <c r="AH84" s="19">
        <f t="shared" si="20"/>
        <v>186.77999999999997</v>
      </c>
      <c r="AI84" s="19">
        <f t="shared" si="21"/>
        <v>533.63538461538462</v>
      </c>
      <c r="AJ84" s="19">
        <f t="shared" si="22"/>
        <v>533.63538461538462</v>
      </c>
      <c r="AN84" s="19">
        <f t="shared" si="23"/>
        <v>45.772599252824982</v>
      </c>
      <c r="AO84" s="19">
        <f t="shared" si="24"/>
        <v>160.22587312192493</v>
      </c>
      <c r="AP84" s="19">
        <f t="shared" si="25"/>
        <v>457.76954400232478</v>
      </c>
      <c r="AQ84" s="19">
        <f t="shared" si="26"/>
        <v>457.76954400232478</v>
      </c>
    </row>
    <row r="85" spans="1:43" x14ac:dyDescent="0.45">
      <c r="A85" s="21">
        <v>1924</v>
      </c>
      <c r="B85" s="41">
        <v>14.665958894756246</v>
      </c>
      <c r="C85" s="41">
        <v>51.325412197387479</v>
      </c>
      <c r="D85" s="41">
        <v>146.63781321052497</v>
      </c>
      <c r="E85" s="43">
        <v>146.63781321052497</v>
      </c>
      <c r="F85" s="19" t="s">
        <v>113</v>
      </c>
      <c r="G85" s="19" t="s">
        <v>115</v>
      </c>
      <c r="H85" s="19" t="s">
        <v>30</v>
      </c>
      <c r="L85" s="54">
        <v>16.602679999999999</v>
      </c>
      <c r="M85" s="55">
        <v>58.109369999999998</v>
      </c>
      <c r="N85" s="55">
        <v>166.02680000000001</v>
      </c>
      <c r="O85" s="56">
        <v>174.32810000000001</v>
      </c>
      <c r="S85" s="19">
        <v>13.47</v>
      </c>
      <c r="T85" s="19">
        <v>47.14</v>
      </c>
      <c r="U85" s="19">
        <v>134.68</v>
      </c>
      <c r="V85" s="19">
        <v>134.68</v>
      </c>
      <c r="Z85" s="19">
        <f t="shared" si="15"/>
        <v>12.376282051282052</v>
      </c>
      <c r="AA85" s="19">
        <f t="shared" si="16"/>
        <v>43.312393162393164</v>
      </c>
      <c r="AB85" s="19">
        <f t="shared" si="17"/>
        <v>123.74444444444445</v>
      </c>
      <c r="AC85" s="19">
        <f t="shared" si="18"/>
        <v>123.74444444444445</v>
      </c>
      <c r="AG85" s="19">
        <f t="shared" si="19"/>
        <v>17.096538461538461</v>
      </c>
      <c r="AH85" s="19">
        <f t="shared" si="20"/>
        <v>59.831538461538464</v>
      </c>
      <c r="AI85" s="19">
        <f t="shared" si="21"/>
        <v>170.94</v>
      </c>
      <c r="AJ85" s="19">
        <f t="shared" si="22"/>
        <v>170.94</v>
      </c>
      <c r="AN85" s="19">
        <f t="shared" si="23"/>
        <v>14.665958894756246</v>
      </c>
      <c r="AO85" s="19">
        <f t="shared" si="24"/>
        <v>51.325412197387479</v>
      </c>
      <c r="AP85" s="19">
        <f t="shared" si="25"/>
        <v>146.63781321052497</v>
      </c>
      <c r="AQ85" s="19">
        <f t="shared" si="26"/>
        <v>146.63781321052497</v>
      </c>
    </row>
    <row r="86" spans="1:43" x14ac:dyDescent="0.45">
      <c r="A86" s="21">
        <v>1928</v>
      </c>
      <c r="B86" s="41">
        <v>200.97916498760617</v>
      </c>
      <c r="C86" s="41">
        <v>703.41074565384349</v>
      </c>
      <c r="D86" s="41">
        <v>2009.7480984019867</v>
      </c>
      <c r="E86" s="43">
        <v>2009.7480984019867</v>
      </c>
      <c r="F86" s="19" t="s">
        <v>113</v>
      </c>
      <c r="G86" s="19" t="s">
        <v>116</v>
      </c>
      <c r="H86" s="19" t="s">
        <v>30</v>
      </c>
      <c r="L86" s="54">
        <v>227.54939999999999</v>
      </c>
      <c r="M86" s="55">
        <v>796.42280000000005</v>
      </c>
      <c r="N86" s="55">
        <v>2275.4940000000001</v>
      </c>
      <c r="O86" s="56">
        <v>2389.268</v>
      </c>
      <c r="S86" s="19">
        <v>184.59</v>
      </c>
      <c r="T86" s="19">
        <v>646.04999999999995</v>
      </c>
      <c r="U86" s="19">
        <v>1845.86</v>
      </c>
      <c r="V86" s="19">
        <v>1845.86</v>
      </c>
      <c r="Z86" s="19">
        <f t="shared" si="15"/>
        <v>169.60192307692307</v>
      </c>
      <c r="AA86" s="19">
        <f t="shared" si="16"/>
        <v>593.59294871794873</v>
      </c>
      <c r="AB86" s="19">
        <f t="shared" si="17"/>
        <v>1695.9824786324784</v>
      </c>
      <c r="AC86" s="19">
        <f t="shared" si="18"/>
        <v>1695.9824786324784</v>
      </c>
      <c r="AG86" s="19">
        <f t="shared" si="19"/>
        <v>234.28730769230771</v>
      </c>
      <c r="AH86" s="19">
        <f t="shared" si="20"/>
        <v>819.98653846153832</v>
      </c>
      <c r="AI86" s="19">
        <f t="shared" si="21"/>
        <v>2342.8223076923073</v>
      </c>
      <c r="AJ86" s="19">
        <f t="shared" si="22"/>
        <v>2342.8223076923073</v>
      </c>
      <c r="AN86" s="19">
        <f t="shared" si="23"/>
        <v>200.97916498760617</v>
      </c>
      <c r="AO86" s="19">
        <f t="shared" si="24"/>
        <v>703.41074565384349</v>
      </c>
      <c r="AP86" s="19">
        <f t="shared" si="25"/>
        <v>2009.7480984019867</v>
      </c>
      <c r="AQ86" s="19">
        <f t="shared" si="26"/>
        <v>2009.7480984019867</v>
      </c>
    </row>
    <row r="87" spans="1:43" x14ac:dyDescent="0.45">
      <c r="A87" s="21">
        <v>1933</v>
      </c>
      <c r="B87" s="41">
        <v>3.897856929712499</v>
      </c>
      <c r="C87" s="41">
        <v>19.500172517081243</v>
      </c>
      <c r="D87" s="41">
        <v>78.000690068324971</v>
      </c>
      <c r="E87" s="43">
        <v>78.000690068324971</v>
      </c>
      <c r="F87" s="19" t="s">
        <v>117</v>
      </c>
      <c r="G87" s="19" t="s">
        <v>118</v>
      </c>
      <c r="H87" s="19" t="s">
        <v>119</v>
      </c>
      <c r="L87" s="54">
        <v>4.4158369999999998</v>
      </c>
      <c r="M87" s="55">
        <v>22.079180000000001</v>
      </c>
      <c r="N87" s="55">
        <v>88.316739999999996</v>
      </c>
      <c r="O87" s="56">
        <v>92.732569999999996</v>
      </c>
      <c r="S87" s="19">
        <v>3.58</v>
      </c>
      <c r="T87" s="19">
        <v>17.91</v>
      </c>
      <c r="U87" s="19">
        <v>71.64</v>
      </c>
      <c r="V87" s="19">
        <v>71.64</v>
      </c>
      <c r="Z87" s="19">
        <f t="shared" si="15"/>
        <v>3.2893162393162396</v>
      </c>
      <c r="AA87" s="19">
        <f t="shared" si="16"/>
        <v>16.455769230769231</v>
      </c>
      <c r="AB87" s="19">
        <f t="shared" si="17"/>
        <v>65.823076923076925</v>
      </c>
      <c r="AC87" s="19">
        <f t="shared" si="18"/>
        <v>65.823076923076925</v>
      </c>
      <c r="AG87" s="19">
        <f t="shared" si="19"/>
        <v>4.5438461538461539</v>
      </c>
      <c r="AH87" s="19">
        <f t="shared" si="20"/>
        <v>22.731923076923078</v>
      </c>
      <c r="AI87" s="19">
        <f t="shared" si="21"/>
        <v>90.927692307692311</v>
      </c>
      <c r="AJ87" s="19">
        <f t="shared" si="22"/>
        <v>90.927692307692311</v>
      </c>
      <c r="AN87" s="19">
        <f t="shared" si="23"/>
        <v>3.897856929712499</v>
      </c>
      <c r="AO87" s="19">
        <f t="shared" si="24"/>
        <v>19.500172517081243</v>
      </c>
      <c r="AP87" s="19">
        <f t="shared" si="25"/>
        <v>78.000690068324971</v>
      </c>
      <c r="AQ87" s="19">
        <f t="shared" si="26"/>
        <v>78.000690068324971</v>
      </c>
    </row>
    <row r="88" spans="1:43" x14ac:dyDescent="0.45">
      <c r="A88" s="21">
        <v>1934</v>
      </c>
      <c r="B88" s="41">
        <v>6.685151270512498</v>
      </c>
      <c r="C88" s="41">
        <v>33.425756352562487</v>
      </c>
      <c r="D88" s="41">
        <v>133.6921375417312</v>
      </c>
      <c r="E88" s="43">
        <v>133.6921375417312</v>
      </c>
      <c r="F88" s="19" t="s">
        <v>117</v>
      </c>
      <c r="G88" s="19" t="s">
        <v>118</v>
      </c>
      <c r="H88" s="19" t="s">
        <v>120</v>
      </c>
      <c r="L88" s="54">
        <v>7.5684300000000002</v>
      </c>
      <c r="M88" s="55">
        <v>37.842149999999997</v>
      </c>
      <c r="N88" s="55">
        <v>151.36859999999999</v>
      </c>
      <c r="O88" s="56">
        <v>158.93700000000001</v>
      </c>
      <c r="S88" s="19">
        <v>6.14</v>
      </c>
      <c r="T88" s="19">
        <v>30.7</v>
      </c>
      <c r="U88" s="19">
        <v>122.79</v>
      </c>
      <c r="V88" s="19">
        <v>122.79</v>
      </c>
      <c r="Z88" s="19">
        <f t="shared" si="15"/>
        <v>5.641452991452991</v>
      </c>
      <c r="AA88" s="19">
        <f t="shared" si="16"/>
        <v>28.207264957264957</v>
      </c>
      <c r="AB88" s="19">
        <f t="shared" si="17"/>
        <v>112.8198717948718</v>
      </c>
      <c r="AC88" s="19">
        <f t="shared" si="18"/>
        <v>112.8198717948718</v>
      </c>
      <c r="AG88" s="19">
        <f t="shared" si="19"/>
        <v>7.7930769230769226</v>
      </c>
      <c r="AH88" s="19">
        <f t="shared" si="20"/>
        <v>38.965384615384615</v>
      </c>
      <c r="AI88" s="19">
        <f t="shared" si="21"/>
        <v>155.84884615384618</v>
      </c>
      <c r="AJ88" s="19">
        <f t="shared" si="22"/>
        <v>155.84884615384618</v>
      </c>
      <c r="AN88" s="19">
        <f t="shared" si="23"/>
        <v>6.685151270512498</v>
      </c>
      <c r="AO88" s="19">
        <f t="shared" si="24"/>
        <v>33.425756352562487</v>
      </c>
      <c r="AP88" s="19">
        <f t="shared" si="25"/>
        <v>133.6921375417312</v>
      </c>
      <c r="AQ88" s="19">
        <f t="shared" si="26"/>
        <v>133.6921375417312</v>
      </c>
    </row>
    <row r="89" spans="1:43" x14ac:dyDescent="0.45">
      <c r="A89" s="21">
        <v>1935</v>
      </c>
      <c r="B89" s="41">
        <v>5.4548221278937481</v>
      </c>
      <c r="C89" s="41">
        <v>27.263222770949987</v>
      </c>
      <c r="D89" s="41">
        <v>109.05289108379995</v>
      </c>
      <c r="E89" s="43">
        <v>109.05289108379995</v>
      </c>
      <c r="F89" s="19" t="s">
        <v>117</v>
      </c>
      <c r="G89" s="19" t="s">
        <v>118</v>
      </c>
      <c r="H89" s="19" t="s">
        <v>121</v>
      </c>
      <c r="L89" s="54">
        <v>6.1737130000000002</v>
      </c>
      <c r="M89" s="55">
        <v>30.868569999999998</v>
      </c>
      <c r="N89" s="55">
        <v>123.4743</v>
      </c>
      <c r="O89" s="56">
        <v>129.648</v>
      </c>
      <c r="S89" s="19">
        <v>5.01</v>
      </c>
      <c r="T89" s="19">
        <v>25.04</v>
      </c>
      <c r="U89" s="19">
        <v>100.16</v>
      </c>
      <c r="V89" s="19">
        <v>100.16</v>
      </c>
      <c r="Z89" s="19">
        <f t="shared" si="15"/>
        <v>4.6032051282051274</v>
      </c>
      <c r="AA89" s="19">
        <f t="shared" si="16"/>
        <v>23.006837606837603</v>
      </c>
      <c r="AB89" s="19">
        <f t="shared" si="17"/>
        <v>92.027350427350413</v>
      </c>
      <c r="AC89" s="19">
        <f t="shared" si="18"/>
        <v>92.027350427350413</v>
      </c>
      <c r="AG89" s="19">
        <f t="shared" si="19"/>
        <v>6.3588461538461543</v>
      </c>
      <c r="AH89" s="19">
        <f t="shared" si="20"/>
        <v>31.781538461538464</v>
      </c>
      <c r="AI89" s="19">
        <f t="shared" si="21"/>
        <v>127.12615384615385</v>
      </c>
      <c r="AJ89" s="19">
        <f t="shared" si="22"/>
        <v>127.12615384615385</v>
      </c>
      <c r="AN89" s="19">
        <f t="shared" si="23"/>
        <v>5.4548221278937481</v>
      </c>
      <c r="AO89" s="19">
        <f t="shared" si="24"/>
        <v>27.263222770949987</v>
      </c>
      <c r="AP89" s="19">
        <f t="shared" si="25"/>
        <v>109.05289108379995</v>
      </c>
      <c r="AQ89" s="19">
        <f t="shared" si="26"/>
        <v>109.05289108379995</v>
      </c>
    </row>
    <row r="90" spans="1:43" x14ac:dyDescent="0.45">
      <c r="A90" s="21">
        <v>1938</v>
      </c>
      <c r="B90" s="41">
        <v>3.0703789222874986</v>
      </c>
      <c r="C90" s="41">
        <v>15.330118874399995</v>
      </c>
      <c r="D90" s="41">
        <v>61.320475497599979</v>
      </c>
      <c r="E90" s="43">
        <v>61.320475497599979</v>
      </c>
      <c r="F90" s="19" t="s">
        <v>117</v>
      </c>
      <c r="G90" s="19" t="s">
        <v>122</v>
      </c>
      <c r="H90" s="19" t="s">
        <v>119</v>
      </c>
      <c r="L90" s="54">
        <v>3.471622</v>
      </c>
      <c r="M90" s="55">
        <v>17.35811</v>
      </c>
      <c r="N90" s="55">
        <v>69.43244</v>
      </c>
      <c r="O90" s="56">
        <v>72.904060000000001</v>
      </c>
      <c r="S90" s="19">
        <v>2.82</v>
      </c>
      <c r="T90" s="19">
        <v>14.08</v>
      </c>
      <c r="U90" s="19">
        <v>56.32</v>
      </c>
      <c r="V90" s="19">
        <v>56.32</v>
      </c>
      <c r="Z90" s="19">
        <f t="shared" si="15"/>
        <v>2.5910256410256407</v>
      </c>
      <c r="AA90" s="19">
        <f t="shared" si="16"/>
        <v>12.936752136752135</v>
      </c>
      <c r="AB90" s="19">
        <f t="shared" si="17"/>
        <v>51.747008547008541</v>
      </c>
      <c r="AC90" s="19">
        <f t="shared" si="18"/>
        <v>51.747008547008541</v>
      </c>
      <c r="AG90" s="19">
        <f t="shared" si="19"/>
        <v>3.5792307692307692</v>
      </c>
      <c r="AH90" s="19">
        <f t="shared" si="20"/>
        <v>17.870769230769231</v>
      </c>
      <c r="AI90" s="19">
        <f t="shared" si="21"/>
        <v>71.483076923076922</v>
      </c>
      <c r="AJ90" s="19">
        <f t="shared" si="22"/>
        <v>71.483076923076922</v>
      </c>
      <c r="AN90" s="19">
        <f t="shared" si="23"/>
        <v>3.0703789222874986</v>
      </c>
      <c r="AO90" s="19">
        <f t="shared" si="24"/>
        <v>15.330118874399995</v>
      </c>
      <c r="AP90" s="19">
        <f t="shared" si="25"/>
        <v>61.320475497599979</v>
      </c>
      <c r="AQ90" s="19">
        <f t="shared" si="26"/>
        <v>61.320475497599979</v>
      </c>
    </row>
    <row r="91" spans="1:43" x14ac:dyDescent="0.45">
      <c r="A91" s="21">
        <v>1939</v>
      </c>
      <c r="B91" s="41">
        <v>6.1407578445749973</v>
      </c>
      <c r="C91" s="41">
        <v>30.703789222874988</v>
      </c>
      <c r="D91" s="41">
        <v>122.80426902298122</v>
      </c>
      <c r="E91" s="43">
        <v>122.80426902298122</v>
      </c>
      <c r="F91" s="19" t="s">
        <v>117</v>
      </c>
      <c r="G91" s="19" t="s">
        <v>122</v>
      </c>
      <c r="H91" s="19" t="s">
        <v>120</v>
      </c>
      <c r="L91" s="54">
        <v>6.9524379999999999</v>
      </c>
      <c r="M91" s="55">
        <v>34.762189999999997</v>
      </c>
      <c r="N91" s="55">
        <v>139.0488</v>
      </c>
      <c r="O91" s="56">
        <v>146.00120000000001</v>
      </c>
      <c r="S91" s="19">
        <v>5.64</v>
      </c>
      <c r="T91" s="19">
        <v>28.2</v>
      </c>
      <c r="U91" s="19">
        <v>112.79</v>
      </c>
      <c r="V91" s="19">
        <v>112.79</v>
      </c>
      <c r="Z91" s="19">
        <f t="shared" si="15"/>
        <v>5.1820512820512814</v>
      </c>
      <c r="AA91" s="19">
        <f t="shared" si="16"/>
        <v>25.910256410256409</v>
      </c>
      <c r="AB91" s="19">
        <f t="shared" si="17"/>
        <v>103.63183760683762</v>
      </c>
      <c r="AC91" s="19">
        <f t="shared" si="18"/>
        <v>103.63183760683762</v>
      </c>
      <c r="AG91" s="19">
        <f t="shared" si="19"/>
        <v>7.1584615384615384</v>
      </c>
      <c r="AH91" s="19">
        <f t="shared" si="20"/>
        <v>35.792307692307688</v>
      </c>
      <c r="AI91" s="19">
        <f t="shared" si="21"/>
        <v>143.15653846153847</v>
      </c>
      <c r="AJ91" s="19">
        <f t="shared" si="22"/>
        <v>143.15653846153847</v>
      </c>
      <c r="AN91" s="19">
        <f t="shared" si="23"/>
        <v>6.1407578445749973</v>
      </c>
      <c r="AO91" s="19">
        <f t="shared" si="24"/>
        <v>30.703789222874988</v>
      </c>
      <c r="AP91" s="19">
        <f t="shared" si="25"/>
        <v>122.80426902298122</v>
      </c>
      <c r="AQ91" s="19">
        <f t="shared" si="26"/>
        <v>122.80426902298122</v>
      </c>
    </row>
    <row r="92" spans="1:43" x14ac:dyDescent="0.45">
      <c r="A92" s="21">
        <v>1940</v>
      </c>
      <c r="B92" s="41">
        <v>5.1608496778874979</v>
      </c>
      <c r="C92" s="41">
        <v>25.793360520918743</v>
      </c>
      <c r="D92" s="41">
        <v>103.16255421515621</v>
      </c>
      <c r="E92" s="43">
        <v>103.16255421515621</v>
      </c>
      <c r="F92" s="19" t="s">
        <v>117</v>
      </c>
      <c r="G92" s="19" t="s">
        <v>122</v>
      </c>
      <c r="H92" s="19" t="s">
        <v>123</v>
      </c>
      <c r="L92" s="54">
        <v>5.8399739999999998</v>
      </c>
      <c r="M92" s="55">
        <v>29.199870000000001</v>
      </c>
      <c r="N92" s="55">
        <v>116.79949999999999</v>
      </c>
      <c r="O92" s="56">
        <v>122.6395</v>
      </c>
      <c r="S92" s="19">
        <v>4.74</v>
      </c>
      <c r="T92" s="19">
        <v>23.69</v>
      </c>
      <c r="U92" s="19">
        <v>94.75</v>
      </c>
      <c r="V92" s="19">
        <v>94.75</v>
      </c>
      <c r="Z92" s="19">
        <f t="shared" si="15"/>
        <v>4.3551282051282056</v>
      </c>
      <c r="AA92" s="19">
        <f t="shared" si="16"/>
        <v>21.766452991452994</v>
      </c>
      <c r="AB92" s="19">
        <f t="shared" si="17"/>
        <v>87.056623931623932</v>
      </c>
      <c r="AC92" s="19">
        <f t="shared" si="18"/>
        <v>87.056623931623932</v>
      </c>
      <c r="AG92" s="19">
        <f t="shared" si="19"/>
        <v>6.0161538461538457</v>
      </c>
      <c r="AH92" s="19">
        <f t="shared" si="20"/>
        <v>30.068076923076923</v>
      </c>
      <c r="AI92" s="19">
        <f t="shared" si="21"/>
        <v>120.25961538461539</v>
      </c>
      <c r="AJ92" s="19">
        <f t="shared" si="22"/>
        <v>120.25961538461539</v>
      </c>
      <c r="AN92" s="19">
        <f t="shared" si="23"/>
        <v>5.1608496778874979</v>
      </c>
      <c r="AO92" s="19">
        <f t="shared" si="24"/>
        <v>25.793360520918743</v>
      </c>
      <c r="AP92" s="19">
        <f t="shared" si="25"/>
        <v>103.16255421515621</v>
      </c>
      <c r="AQ92" s="19">
        <f t="shared" si="26"/>
        <v>103.16255421515621</v>
      </c>
    </row>
    <row r="93" spans="1:43" x14ac:dyDescent="0.45">
      <c r="A93" s="21">
        <v>1944</v>
      </c>
      <c r="B93" s="41">
        <v>1.8727133852249993</v>
      </c>
      <c r="C93" s="41">
        <v>9.3635669261249959</v>
      </c>
      <c r="D93" s="41">
        <v>37.454267704499983</v>
      </c>
      <c r="E93" s="43">
        <v>37.454267704499983</v>
      </c>
      <c r="F93" s="19" t="s">
        <v>117</v>
      </c>
      <c r="G93" s="19" t="s">
        <v>124</v>
      </c>
      <c r="H93" s="19" t="s">
        <v>30</v>
      </c>
      <c r="L93" s="54">
        <v>2.1204230000000002</v>
      </c>
      <c r="M93" s="55">
        <v>10.60211</v>
      </c>
      <c r="N93" s="55">
        <v>42.408459999999998</v>
      </c>
      <c r="O93" s="56">
        <v>44.528880000000001</v>
      </c>
      <c r="S93" s="19">
        <v>1.72</v>
      </c>
      <c r="T93" s="19">
        <v>8.6</v>
      </c>
      <c r="U93" s="19">
        <v>34.4</v>
      </c>
      <c r="V93" s="19">
        <v>34.4</v>
      </c>
      <c r="Z93" s="19">
        <f t="shared" si="15"/>
        <v>1.5803418803418805</v>
      </c>
      <c r="AA93" s="19">
        <f t="shared" si="16"/>
        <v>7.9017094017094021</v>
      </c>
      <c r="AB93" s="19">
        <f t="shared" si="17"/>
        <v>31.606837606837608</v>
      </c>
      <c r="AC93" s="19">
        <f t="shared" si="18"/>
        <v>31.606837606837608</v>
      </c>
      <c r="AG93" s="19">
        <f t="shared" si="19"/>
        <v>2.1830769230769231</v>
      </c>
      <c r="AH93" s="19">
        <f t="shared" si="20"/>
        <v>10.915384615384614</v>
      </c>
      <c r="AI93" s="19">
        <f t="shared" si="21"/>
        <v>43.661538461538456</v>
      </c>
      <c r="AJ93" s="19">
        <f t="shared" si="22"/>
        <v>43.661538461538456</v>
      </c>
      <c r="AN93" s="19">
        <f t="shared" si="23"/>
        <v>1.8727133852249993</v>
      </c>
      <c r="AO93" s="19">
        <f t="shared" si="24"/>
        <v>9.3635669261249959</v>
      </c>
      <c r="AP93" s="19">
        <f t="shared" si="25"/>
        <v>37.454267704499983</v>
      </c>
      <c r="AQ93" s="19">
        <f t="shared" si="26"/>
        <v>37.454267704499983</v>
      </c>
    </row>
    <row r="94" spans="1:43" x14ac:dyDescent="0.45">
      <c r="A94" s="21">
        <v>1947</v>
      </c>
      <c r="B94" s="41">
        <v>4.3551474074999985E-2</v>
      </c>
      <c r="C94" s="41">
        <v>0.20686950185624992</v>
      </c>
      <c r="D94" s="41">
        <v>0.81659013890624965</v>
      </c>
      <c r="E94" s="43">
        <v>0.81659013890624965</v>
      </c>
      <c r="F94" s="19" t="s">
        <v>117</v>
      </c>
      <c r="G94" s="19" t="s">
        <v>125</v>
      </c>
      <c r="H94" s="19" t="s">
        <v>30</v>
      </c>
      <c r="L94" s="54">
        <v>4.5969570000000001E-2</v>
      </c>
      <c r="M94" s="55">
        <v>0.22984779999999999</v>
      </c>
      <c r="N94" s="55">
        <v>0.91939139999999997</v>
      </c>
      <c r="O94" s="56">
        <v>0.96536089999999997</v>
      </c>
      <c r="S94" s="19">
        <v>0.04</v>
      </c>
      <c r="T94" s="19">
        <v>0.19</v>
      </c>
      <c r="U94" s="19">
        <v>0.75</v>
      </c>
      <c r="V94" s="19">
        <v>0.75</v>
      </c>
      <c r="Z94" s="19">
        <f t="shared" si="15"/>
        <v>3.6752136752136753E-2</v>
      </c>
      <c r="AA94" s="19">
        <f t="shared" si="16"/>
        <v>0.17457264957264959</v>
      </c>
      <c r="AB94" s="19">
        <f t="shared" si="17"/>
        <v>0.6891025641025641</v>
      </c>
      <c r="AC94" s="19">
        <f t="shared" si="18"/>
        <v>0.6891025641025641</v>
      </c>
      <c r="AG94" s="19">
        <f t="shared" si="19"/>
        <v>5.0769230769230775E-2</v>
      </c>
      <c r="AH94" s="19">
        <f t="shared" si="20"/>
        <v>0.24115384615384616</v>
      </c>
      <c r="AI94" s="19">
        <f t="shared" si="21"/>
        <v>0.95192307692307687</v>
      </c>
      <c r="AJ94" s="19">
        <f t="shared" si="22"/>
        <v>0.95192307692307687</v>
      </c>
      <c r="AN94" s="19">
        <f t="shared" si="23"/>
        <v>4.3551474074999985E-2</v>
      </c>
      <c r="AO94" s="19">
        <f t="shared" si="24"/>
        <v>0.20686950185624992</v>
      </c>
      <c r="AP94" s="19">
        <f t="shared" si="25"/>
        <v>0.81659013890624965</v>
      </c>
      <c r="AQ94" s="19">
        <f t="shared" si="26"/>
        <v>0.81659013890624965</v>
      </c>
    </row>
    <row r="95" spans="1:43" x14ac:dyDescent="0.45">
      <c r="A95" s="21">
        <v>1949</v>
      </c>
      <c r="B95" s="41">
        <v>11.846000948399999</v>
      </c>
      <c r="C95" s="41">
        <v>59.208229004962476</v>
      </c>
      <c r="D95" s="41">
        <v>236.84380388836868</v>
      </c>
      <c r="E95" s="43">
        <v>236.84380388836868</v>
      </c>
      <c r="F95" s="19" t="s">
        <v>117</v>
      </c>
      <c r="G95" s="19" t="s">
        <v>126</v>
      </c>
      <c r="H95" s="19" t="s">
        <v>127</v>
      </c>
      <c r="L95" s="54">
        <v>13.40779</v>
      </c>
      <c r="M95" s="55">
        <v>67.03895</v>
      </c>
      <c r="N95" s="55">
        <v>268.1558</v>
      </c>
      <c r="O95" s="56">
        <v>281.56360000000001</v>
      </c>
      <c r="S95" s="19">
        <v>10.88</v>
      </c>
      <c r="T95" s="19">
        <v>54.38</v>
      </c>
      <c r="U95" s="19">
        <v>217.53</v>
      </c>
      <c r="V95" s="19">
        <v>217.53</v>
      </c>
      <c r="Z95" s="19">
        <f t="shared" si="15"/>
        <v>9.9965811965811984</v>
      </c>
      <c r="AA95" s="19">
        <f t="shared" si="16"/>
        <v>49.964529914529919</v>
      </c>
      <c r="AB95" s="19">
        <f t="shared" si="17"/>
        <v>199.86730769230769</v>
      </c>
      <c r="AC95" s="19">
        <f t="shared" si="18"/>
        <v>199.86730769230769</v>
      </c>
      <c r="AG95" s="19">
        <f t="shared" si="19"/>
        <v>13.809230769230769</v>
      </c>
      <c r="AH95" s="19">
        <f t="shared" si="20"/>
        <v>69.020769230769233</v>
      </c>
      <c r="AI95" s="19">
        <f t="shared" si="21"/>
        <v>276.09576923076924</v>
      </c>
      <c r="AJ95" s="19">
        <f t="shared" si="22"/>
        <v>276.09576923076924</v>
      </c>
      <c r="AN95" s="19">
        <f t="shared" si="23"/>
        <v>11.846000948399999</v>
      </c>
      <c r="AO95" s="19">
        <f t="shared" si="24"/>
        <v>59.208229004962476</v>
      </c>
      <c r="AP95" s="19">
        <f t="shared" si="25"/>
        <v>236.84380388836868</v>
      </c>
      <c r="AQ95" s="19">
        <f t="shared" si="26"/>
        <v>236.84380388836868</v>
      </c>
    </row>
    <row r="96" spans="1:43" x14ac:dyDescent="0.45">
      <c r="A96" s="21">
        <v>1950</v>
      </c>
      <c r="B96" s="41">
        <v>4.0720628260124991</v>
      </c>
      <c r="C96" s="41">
        <v>20.371201998581249</v>
      </c>
      <c r="D96" s="41">
        <v>81.495695862843718</v>
      </c>
      <c r="E96" s="43">
        <v>81.495695862843718</v>
      </c>
      <c r="F96" s="19" t="s">
        <v>117</v>
      </c>
      <c r="G96" s="19" t="s">
        <v>126</v>
      </c>
      <c r="H96" s="19" t="s">
        <v>128</v>
      </c>
      <c r="L96" s="54">
        <v>4.613429</v>
      </c>
      <c r="M96" s="55">
        <v>23.067150000000002</v>
      </c>
      <c r="N96" s="55">
        <v>92.268590000000003</v>
      </c>
      <c r="O96" s="56">
        <v>96.882019999999997</v>
      </c>
      <c r="S96" s="19">
        <v>3.74</v>
      </c>
      <c r="T96" s="19">
        <v>18.71</v>
      </c>
      <c r="U96" s="19">
        <v>74.849999999999994</v>
      </c>
      <c r="V96" s="19">
        <v>74.849999999999994</v>
      </c>
      <c r="Z96" s="19">
        <f t="shared" si="15"/>
        <v>3.4363247863247866</v>
      </c>
      <c r="AA96" s="19">
        <f t="shared" si="16"/>
        <v>17.190811965811967</v>
      </c>
      <c r="AB96" s="19">
        <f t="shared" si="17"/>
        <v>68.772435897435884</v>
      </c>
      <c r="AC96" s="19">
        <f t="shared" si="18"/>
        <v>68.772435897435884</v>
      </c>
      <c r="AG96" s="19">
        <f t="shared" si="19"/>
        <v>4.7469230769230766</v>
      </c>
      <c r="AH96" s="19">
        <f t="shared" si="20"/>
        <v>23.747307692307693</v>
      </c>
      <c r="AI96" s="19">
        <f t="shared" si="21"/>
        <v>95.001923076923063</v>
      </c>
      <c r="AJ96" s="19">
        <f t="shared" si="22"/>
        <v>95.001923076923063</v>
      </c>
      <c r="AN96" s="19">
        <f t="shared" si="23"/>
        <v>4.0720628260124991</v>
      </c>
      <c r="AO96" s="19">
        <f t="shared" si="24"/>
        <v>20.371201998581249</v>
      </c>
      <c r="AP96" s="19">
        <f t="shared" si="25"/>
        <v>81.495695862843718</v>
      </c>
      <c r="AQ96" s="19">
        <f t="shared" si="26"/>
        <v>81.495695862843718</v>
      </c>
    </row>
    <row r="97" spans="1:43" x14ac:dyDescent="0.45">
      <c r="A97" s="21">
        <v>1951</v>
      </c>
      <c r="B97" s="41">
        <v>2.0360314130062496</v>
      </c>
      <c r="C97" s="41">
        <v>8.1550135205437471</v>
      </c>
      <c r="D97" s="41">
        <v>40.775067602718735</v>
      </c>
      <c r="E97" s="43">
        <v>40.775067602718735</v>
      </c>
      <c r="F97" s="19" t="s">
        <v>117</v>
      </c>
      <c r="G97" s="19" t="s">
        <v>126</v>
      </c>
      <c r="H97" s="19" t="s">
        <v>129</v>
      </c>
      <c r="L97" s="54">
        <v>2.3084389999999999</v>
      </c>
      <c r="M97" s="55">
        <v>9.2337539999999994</v>
      </c>
      <c r="N97" s="55">
        <v>46.168770000000002</v>
      </c>
      <c r="O97" s="56">
        <v>48.477209999999999</v>
      </c>
      <c r="S97" s="19">
        <v>1.87</v>
      </c>
      <c r="T97" s="19">
        <v>7.49</v>
      </c>
      <c r="U97" s="19">
        <v>37.450000000000003</v>
      </c>
      <c r="V97" s="19">
        <v>37.450000000000003</v>
      </c>
      <c r="Z97" s="19">
        <f t="shared" si="15"/>
        <v>1.7181623931623933</v>
      </c>
      <c r="AA97" s="19">
        <f t="shared" si="16"/>
        <v>6.8818376068376077</v>
      </c>
      <c r="AB97" s="19">
        <f t="shared" si="17"/>
        <v>34.409188034188041</v>
      </c>
      <c r="AC97" s="19">
        <f t="shared" si="18"/>
        <v>34.409188034188041</v>
      </c>
      <c r="AG97" s="19">
        <f t="shared" si="19"/>
        <v>2.3734615384615383</v>
      </c>
      <c r="AH97" s="19">
        <f t="shared" si="20"/>
        <v>9.5065384615384616</v>
      </c>
      <c r="AI97" s="19">
        <f t="shared" si="21"/>
        <v>47.532692307692315</v>
      </c>
      <c r="AJ97" s="19">
        <f t="shared" si="22"/>
        <v>47.532692307692315</v>
      </c>
      <c r="AN97" s="19">
        <f t="shared" si="23"/>
        <v>2.0360314130062496</v>
      </c>
      <c r="AO97" s="19">
        <f t="shared" si="24"/>
        <v>8.1550135205437471</v>
      </c>
      <c r="AP97" s="19">
        <f t="shared" si="25"/>
        <v>40.775067602718735</v>
      </c>
      <c r="AQ97" s="19">
        <f t="shared" si="26"/>
        <v>40.775067602718735</v>
      </c>
    </row>
    <row r="98" spans="1:43" x14ac:dyDescent="0.45">
      <c r="A98" s="21">
        <v>1956</v>
      </c>
      <c r="B98" s="41">
        <v>0.79481440186874963</v>
      </c>
      <c r="C98" s="41">
        <v>3.1901454759937491</v>
      </c>
      <c r="D98" s="41">
        <v>15.928951642931244</v>
      </c>
      <c r="E98" s="43">
        <v>15.928951642931244</v>
      </c>
      <c r="F98" s="19" t="s">
        <v>117</v>
      </c>
      <c r="G98" s="19" t="s">
        <v>130</v>
      </c>
      <c r="H98" s="19" t="s">
        <v>30</v>
      </c>
      <c r="L98" s="54">
        <v>0.90176970000000001</v>
      </c>
      <c r="M98" s="55">
        <v>3.6070790000000001</v>
      </c>
      <c r="N98" s="55">
        <v>18.03539</v>
      </c>
      <c r="O98" s="56">
        <v>18.937159999999999</v>
      </c>
      <c r="S98" s="19">
        <v>0.73</v>
      </c>
      <c r="T98" s="19">
        <v>2.93</v>
      </c>
      <c r="U98" s="19">
        <v>14.63</v>
      </c>
      <c r="V98" s="19">
        <v>14.63</v>
      </c>
      <c r="Z98" s="19">
        <f t="shared" si="15"/>
        <v>0.67072649572649568</v>
      </c>
      <c r="AA98" s="19">
        <f t="shared" si="16"/>
        <v>2.6920940170940173</v>
      </c>
      <c r="AB98" s="19">
        <f t="shared" si="17"/>
        <v>13.442094017094018</v>
      </c>
      <c r="AC98" s="19">
        <f t="shared" si="18"/>
        <v>13.442094017094018</v>
      </c>
      <c r="AG98" s="19">
        <f t="shared" si="19"/>
        <v>0.92653846153846153</v>
      </c>
      <c r="AH98" s="19">
        <f t="shared" si="20"/>
        <v>3.7188461538461541</v>
      </c>
      <c r="AI98" s="19">
        <f t="shared" si="21"/>
        <v>18.568846153846156</v>
      </c>
      <c r="AJ98" s="19">
        <f t="shared" si="22"/>
        <v>18.568846153846156</v>
      </c>
      <c r="AN98" s="19">
        <f t="shared" si="23"/>
        <v>0.79481440186874963</v>
      </c>
      <c r="AO98" s="19">
        <f t="shared" si="24"/>
        <v>3.1901454759937491</v>
      </c>
      <c r="AP98" s="19">
        <f t="shared" si="25"/>
        <v>15.928951642931244</v>
      </c>
      <c r="AQ98" s="19">
        <f t="shared" si="26"/>
        <v>15.928951642931244</v>
      </c>
    </row>
    <row r="99" spans="1:43" x14ac:dyDescent="0.45">
      <c r="A99" s="21">
        <v>1959</v>
      </c>
      <c r="B99" s="41">
        <v>2192.9909255725497</v>
      </c>
      <c r="C99" s="41">
        <v>9260.7854473079969</v>
      </c>
      <c r="D99" s="41">
        <v>13229.119549942365</v>
      </c>
      <c r="E99" s="43">
        <v>13229.119549942365</v>
      </c>
      <c r="F99" s="19" t="s">
        <v>117</v>
      </c>
      <c r="G99" s="19" t="s">
        <v>131</v>
      </c>
      <c r="H99" s="19" t="s">
        <v>30</v>
      </c>
      <c r="L99" s="54">
        <v>2482.9699999999998</v>
      </c>
      <c r="M99" s="55">
        <v>10485.35</v>
      </c>
      <c r="N99" s="55">
        <v>14978.42</v>
      </c>
      <c r="O99" s="56">
        <v>15727.34</v>
      </c>
      <c r="S99" s="19">
        <v>2014.16</v>
      </c>
      <c r="T99" s="19">
        <v>8505.6</v>
      </c>
      <c r="U99" s="19">
        <v>12150.33</v>
      </c>
      <c r="V99" s="19">
        <v>12150.33</v>
      </c>
      <c r="Z99" s="19">
        <f t="shared" si="15"/>
        <v>1850.6170940170941</v>
      </c>
      <c r="AA99" s="19">
        <f t="shared" si="16"/>
        <v>7814.9743589743593</v>
      </c>
      <c r="AB99" s="19">
        <f t="shared" si="17"/>
        <v>11163.764743589745</v>
      </c>
      <c r="AC99" s="19">
        <f t="shared" si="18"/>
        <v>11163.764743589745</v>
      </c>
      <c r="AG99" s="19">
        <f t="shared" si="19"/>
        <v>2556.4338461538464</v>
      </c>
      <c r="AH99" s="19">
        <f t="shared" si="20"/>
        <v>10795.569230769232</v>
      </c>
      <c r="AI99" s="19">
        <f t="shared" si="21"/>
        <v>15421.572692307691</v>
      </c>
      <c r="AJ99" s="19">
        <f t="shared" si="22"/>
        <v>15421.572692307691</v>
      </c>
      <c r="AN99" s="19">
        <f t="shared" si="23"/>
        <v>2192.9909255725497</v>
      </c>
      <c r="AO99" s="19">
        <f t="shared" si="24"/>
        <v>9260.7854473079969</v>
      </c>
      <c r="AP99" s="19">
        <f t="shared" si="25"/>
        <v>13229.119549942365</v>
      </c>
      <c r="AQ99" s="19">
        <f t="shared" si="26"/>
        <v>13229.119549942365</v>
      </c>
    </row>
    <row r="100" spans="1:43" x14ac:dyDescent="0.45">
      <c r="A100" s="21">
        <v>1962</v>
      </c>
      <c r="B100" s="41">
        <v>3383.4051422015609</v>
      </c>
      <c r="C100" s="41">
        <v>11841.917997705465</v>
      </c>
      <c r="D100" s="41">
        <v>16917.025711007806</v>
      </c>
      <c r="E100" s="43">
        <v>16917.025711007806</v>
      </c>
      <c r="F100" s="19" t="s">
        <v>117</v>
      </c>
      <c r="G100" s="19" t="s">
        <v>132</v>
      </c>
      <c r="H100" s="19" t="s">
        <v>30</v>
      </c>
      <c r="L100" s="54">
        <v>3830.797</v>
      </c>
      <c r="M100" s="55">
        <v>13407.79</v>
      </c>
      <c r="N100" s="55">
        <v>19153.990000000002</v>
      </c>
      <c r="O100" s="56">
        <v>20111.689999999999</v>
      </c>
      <c r="S100" s="19">
        <v>3107.5</v>
      </c>
      <c r="T100" s="19">
        <v>10876.25</v>
      </c>
      <c r="U100" s="19">
        <v>15537.5</v>
      </c>
      <c r="V100" s="19">
        <v>15537.5</v>
      </c>
      <c r="Z100" s="19">
        <f t="shared" si="15"/>
        <v>2855.181623931624</v>
      </c>
      <c r="AA100" s="19">
        <f t="shared" si="16"/>
        <v>9993.1356837606836</v>
      </c>
      <c r="AB100" s="19">
        <f t="shared" si="17"/>
        <v>14275.908119658119</v>
      </c>
      <c r="AC100" s="19">
        <f t="shared" si="18"/>
        <v>14275.908119658119</v>
      </c>
      <c r="AG100" s="19">
        <f t="shared" si="19"/>
        <v>3944.1346153846152</v>
      </c>
      <c r="AH100" s="19">
        <f t="shared" si="20"/>
        <v>13804.471153846154</v>
      </c>
      <c r="AI100" s="19">
        <f t="shared" si="21"/>
        <v>19720.673076923078</v>
      </c>
      <c r="AJ100" s="19">
        <f t="shared" si="22"/>
        <v>19720.673076923078</v>
      </c>
      <c r="AN100" s="19">
        <f t="shared" si="23"/>
        <v>3383.4051422015609</v>
      </c>
      <c r="AO100" s="19">
        <f t="shared" si="24"/>
        <v>11841.917997705465</v>
      </c>
      <c r="AP100" s="19">
        <f t="shared" si="25"/>
        <v>16917.025711007806</v>
      </c>
      <c r="AQ100" s="19">
        <f t="shared" si="26"/>
        <v>16917.025711007806</v>
      </c>
    </row>
    <row r="101" spans="1:43" x14ac:dyDescent="0.45">
      <c r="A101" s="21">
        <v>1965</v>
      </c>
      <c r="B101" s="41">
        <v>3.0703789222874986</v>
      </c>
      <c r="C101" s="41">
        <v>15.330118874399995</v>
      </c>
      <c r="D101" s="41">
        <v>61.320475497599979</v>
      </c>
      <c r="E101" s="43">
        <v>61.320475497599979</v>
      </c>
      <c r="F101" s="19" t="s">
        <v>133</v>
      </c>
      <c r="G101" s="19" t="s">
        <v>30</v>
      </c>
      <c r="H101" s="19" t="s">
        <v>119</v>
      </c>
      <c r="L101" s="54">
        <v>3.471622</v>
      </c>
      <c r="M101" s="55">
        <v>17.35811</v>
      </c>
      <c r="N101" s="55">
        <v>69.43244</v>
      </c>
      <c r="O101" s="56">
        <v>72.904060000000001</v>
      </c>
      <c r="S101" s="19">
        <v>2.82</v>
      </c>
      <c r="T101" s="19">
        <v>14.08</v>
      </c>
      <c r="U101" s="19">
        <v>56.32</v>
      </c>
      <c r="V101" s="19">
        <v>56.32</v>
      </c>
      <c r="Z101" s="19">
        <f t="shared" si="15"/>
        <v>2.5910256410256407</v>
      </c>
      <c r="AA101" s="19">
        <f t="shared" si="16"/>
        <v>12.936752136752135</v>
      </c>
      <c r="AB101" s="19">
        <f t="shared" si="17"/>
        <v>51.747008547008541</v>
      </c>
      <c r="AC101" s="19">
        <f t="shared" si="18"/>
        <v>51.747008547008541</v>
      </c>
      <c r="AG101" s="19">
        <f t="shared" si="19"/>
        <v>3.5792307692307692</v>
      </c>
      <c r="AH101" s="19">
        <f t="shared" si="20"/>
        <v>17.870769230769231</v>
      </c>
      <c r="AI101" s="19">
        <f t="shared" si="21"/>
        <v>71.483076923076922</v>
      </c>
      <c r="AJ101" s="19">
        <f t="shared" si="22"/>
        <v>71.483076923076922</v>
      </c>
      <c r="AN101" s="19">
        <f t="shared" si="23"/>
        <v>3.0703789222874986</v>
      </c>
      <c r="AO101" s="19">
        <f t="shared" si="24"/>
        <v>15.330118874399995</v>
      </c>
      <c r="AP101" s="19">
        <f t="shared" si="25"/>
        <v>61.320475497599979</v>
      </c>
      <c r="AQ101" s="19">
        <f t="shared" si="26"/>
        <v>61.320475497599979</v>
      </c>
    </row>
    <row r="102" spans="1:43" x14ac:dyDescent="0.45">
      <c r="A102" s="21">
        <v>1966</v>
      </c>
      <c r="B102" s="41">
        <v>7.9808076242437469</v>
      </c>
      <c r="C102" s="41">
        <v>31.901454759937486</v>
      </c>
      <c r="D102" s="41">
        <v>159.52904953672495</v>
      </c>
      <c r="E102" s="43">
        <v>159.52904953672495</v>
      </c>
      <c r="F102" s="19" t="s">
        <v>133</v>
      </c>
      <c r="G102" s="19" t="s">
        <v>30</v>
      </c>
      <c r="H102" s="19" t="s">
        <v>134</v>
      </c>
      <c r="L102" s="54">
        <v>9.0311050000000002</v>
      </c>
      <c r="M102" s="55">
        <v>36.124420000000001</v>
      </c>
      <c r="N102" s="55">
        <v>180.62209999999999</v>
      </c>
      <c r="O102" s="56">
        <v>189.6532</v>
      </c>
      <c r="S102" s="19">
        <v>7.33</v>
      </c>
      <c r="T102" s="19">
        <v>29.3</v>
      </c>
      <c r="U102" s="19">
        <v>146.52000000000001</v>
      </c>
      <c r="V102" s="19">
        <v>146.52000000000001</v>
      </c>
      <c r="Z102" s="19">
        <f t="shared" si="15"/>
        <v>6.7348290598290603</v>
      </c>
      <c r="AA102" s="19">
        <f t="shared" si="16"/>
        <v>26.92094017094017</v>
      </c>
      <c r="AB102" s="19">
        <f t="shared" si="17"/>
        <v>134.62307692307692</v>
      </c>
      <c r="AC102" s="19">
        <f t="shared" si="18"/>
        <v>134.62307692307692</v>
      </c>
      <c r="AG102" s="19">
        <f t="shared" si="19"/>
        <v>9.3034615384615389</v>
      </c>
      <c r="AH102" s="19">
        <f t="shared" si="20"/>
        <v>37.188461538461539</v>
      </c>
      <c r="AI102" s="19">
        <f t="shared" si="21"/>
        <v>185.96769230769232</v>
      </c>
      <c r="AJ102" s="19">
        <f t="shared" si="22"/>
        <v>185.96769230769232</v>
      </c>
      <c r="AN102" s="19">
        <f t="shared" si="23"/>
        <v>7.9808076242437469</v>
      </c>
      <c r="AO102" s="19">
        <f t="shared" si="24"/>
        <v>31.901454759937486</v>
      </c>
      <c r="AP102" s="19">
        <f t="shared" si="25"/>
        <v>159.52904953672495</v>
      </c>
      <c r="AQ102" s="19">
        <f t="shared" si="26"/>
        <v>159.52904953672495</v>
      </c>
    </row>
    <row r="103" spans="1:43" x14ac:dyDescent="0.45">
      <c r="A103" s="21">
        <v>1967</v>
      </c>
      <c r="B103" s="41">
        <v>0.48995408334374985</v>
      </c>
      <c r="C103" s="41">
        <v>2.4388825481999996</v>
      </c>
      <c r="D103" s="41">
        <v>9.7555301927999984</v>
      </c>
      <c r="E103" s="43">
        <v>9.7555301927999984</v>
      </c>
      <c r="F103" s="19" t="s">
        <v>133</v>
      </c>
      <c r="G103" s="19" t="s">
        <v>30</v>
      </c>
      <c r="H103" s="19" t="s">
        <v>135</v>
      </c>
      <c r="L103" s="54">
        <v>0.55201789999999995</v>
      </c>
      <c r="M103" s="55">
        <v>2.7600899999999999</v>
      </c>
      <c r="N103" s="55">
        <v>11.04036</v>
      </c>
      <c r="O103" s="56">
        <v>11.59238</v>
      </c>
      <c r="S103" s="19">
        <v>0.45</v>
      </c>
      <c r="T103" s="19">
        <v>2.2400000000000002</v>
      </c>
      <c r="U103" s="19">
        <v>8.9600000000000009</v>
      </c>
      <c r="V103" s="19">
        <v>8.9600000000000009</v>
      </c>
      <c r="Z103" s="19">
        <f t="shared" si="15"/>
        <v>0.41346153846153844</v>
      </c>
      <c r="AA103" s="19">
        <f t="shared" si="16"/>
        <v>2.0581196581196584</v>
      </c>
      <c r="AB103" s="19">
        <f t="shared" si="17"/>
        <v>8.2324786324786334</v>
      </c>
      <c r="AC103" s="19">
        <f t="shared" si="18"/>
        <v>8.2324786324786334</v>
      </c>
      <c r="AG103" s="19">
        <f t="shared" si="19"/>
        <v>0.57115384615384612</v>
      </c>
      <c r="AH103" s="19">
        <f t="shared" si="20"/>
        <v>2.8430769230769233</v>
      </c>
      <c r="AI103" s="19">
        <f t="shared" si="21"/>
        <v>11.372307692307693</v>
      </c>
      <c r="AJ103" s="19">
        <f t="shared" si="22"/>
        <v>11.372307692307693</v>
      </c>
      <c r="AN103" s="19">
        <f t="shared" si="23"/>
        <v>0.48995408334374985</v>
      </c>
      <c r="AO103" s="19">
        <f t="shared" si="24"/>
        <v>2.4388825481999996</v>
      </c>
      <c r="AP103" s="19">
        <f t="shared" si="25"/>
        <v>9.7555301927999984</v>
      </c>
      <c r="AQ103" s="19">
        <f t="shared" si="26"/>
        <v>9.7555301927999984</v>
      </c>
    </row>
    <row r="104" spans="1:43" x14ac:dyDescent="0.45">
      <c r="A104" s="21">
        <v>1968</v>
      </c>
      <c r="B104" s="41">
        <v>10.648335411337497</v>
      </c>
      <c r="C104" s="41">
        <v>31.945006234012489</v>
      </c>
      <c r="D104" s="41">
        <v>106.46157837633747</v>
      </c>
      <c r="E104" s="43">
        <v>106.46157837633747</v>
      </c>
      <c r="F104" s="19" t="s">
        <v>13</v>
      </c>
      <c r="G104" s="19" t="s">
        <v>16</v>
      </c>
      <c r="H104" s="19" t="s">
        <v>136</v>
      </c>
      <c r="L104" s="54">
        <v>12.05452</v>
      </c>
      <c r="M104" s="55">
        <v>36.163550000000001</v>
      </c>
      <c r="N104" s="55">
        <v>120.54519999999999</v>
      </c>
      <c r="O104" s="56">
        <v>126.5724</v>
      </c>
      <c r="S104" s="19">
        <v>9.7799999999999994</v>
      </c>
      <c r="T104" s="19">
        <v>29.34</v>
      </c>
      <c r="U104" s="19">
        <v>97.78</v>
      </c>
      <c r="V104" s="19">
        <v>97.78</v>
      </c>
      <c r="Z104" s="19">
        <f t="shared" si="15"/>
        <v>8.9858974358974351</v>
      </c>
      <c r="AA104" s="19">
        <f t="shared" si="16"/>
        <v>26.957692307692309</v>
      </c>
      <c r="AB104" s="19">
        <f t="shared" si="17"/>
        <v>89.840598290598294</v>
      </c>
      <c r="AC104" s="19">
        <f t="shared" si="18"/>
        <v>89.840598290598294</v>
      </c>
      <c r="AG104" s="19">
        <f t="shared" si="19"/>
        <v>12.413076923076922</v>
      </c>
      <c r="AH104" s="19">
        <f t="shared" si="20"/>
        <v>37.239230769230765</v>
      </c>
      <c r="AI104" s="19">
        <f t="shared" si="21"/>
        <v>124.10538461538461</v>
      </c>
      <c r="AJ104" s="19">
        <f t="shared" si="22"/>
        <v>124.10538461538461</v>
      </c>
      <c r="AN104" s="19">
        <f t="shared" si="23"/>
        <v>10.648335411337497</v>
      </c>
      <c r="AO104" s="19">
        <f t="shared" si="24"/>
        <v>31.945006234012489</v>
      </c>
      <c r="AP104" s="19">
        <f t="shared" si="25"/>
        <v>106.46157837633747</v>
      </c>
      <c r="AQ104" s="19">
        <f t="shared" si="26"/>
        <v>106.46157837633747</v>
      </c>
    </row>
    <row r="105" spans="1:43" x14ac:dyDescent="0.45">
      <c r="A105" s="21">
        <v>1969</v>
      </c>
      <c r="B105" s="41">
        <v>25.80424838943749</v>
      </c>
      <c r="C105" s="41">
        <v>77.401857299793718</v>
      </c>
      <c r="D105" s="41">
        <v>257.99893242029992</v>
      </c>
      <c r="E105" s="43">
        <v>257.99893242029992</v>
      </c>
      <c r="F105" s="19" t="s">
        <v>13</v>
      </c>
      <c r="G105" s="19" t="s">
        <v>16</v>
      </c>
      <c r="H105" s="19" t="s">
        <v>137</v>
      </c>
      <c r="L105" s="54">
        <v>29.210930000000001</v>
      </c>
      <c r="M105" s="55">
        <v>87.632779999999997</v>
      </c>
      <c r="N105" s="55">
        <v>292.10930000000002</v>
      </c>
      <c r="O105" s="56">
        <v>306.71469999999999</v>
      </c>
      <c r="S105" s="19">
        <v>23.7</v>
      </c>
      <c r="T105" s="19">
        <v>71.09</v>
      </c>
      <c r="U105" s="19">
        <v>236.96</v>
      </c>
      <c r="V105" s="19">
        <v>236.96</v>
      </c>
      <c r="Z105" s="19">
        <f t="shared" si="15"/>
        <v>21.775641025641026</v>
      </c>
      <c r="AA105" s="19">
        <f t="shared" si="16"/>
        <v>65.317735042735038</v>
      </c>
      <c r="AB105" s="19">
        <f t="shared" si="17"/>
        <v>217.71965811965813</v>
      </c>
      <c r="AC105" s="19">
        <f t="shared" si="18"/>
        <v>217.71965811965813</v>
      </c>
      <c r="AG105" s="19">
        <f t="shared" si="19"/>
        <v>30.080769230769228</v>
      </c>
      <c r="AH105" s="19">
        <f t="shared" si="20"/>
        <v>90.229615384615386</v>
      </c>
      <c r="AI105" s="19">
        <f t="shared" si="21"/>
        <v>300.75692307692304</v>
      </c>
      <c r="AJ105" s="19">
        <f t="shared" si="22"/>
        <v>300.75692307692304</v>
      </c>
      <c r="AN105" s="19">
        <f t="shared" si="23"/>
        <v>25.80424838943749</v>
      </c>
      <c r="AO105" s="19">
        <f t="shared" si="24"/>
        <v>77.401857299793718</v>
      </c>
      <c r="AP105" s="19">
        <f t="shared" si="25"/>
        <v>257.99893242029992</v>
      </c>
      <c r="AQ105" s="19">
        <f t="shared" si="26"/>
        <v>257.99893242029992</v>
      </c>
    </row>
    <row r="106" spans="1:43" x14ac:dyDescent="0.45">
      <c r="A106" s="21">
        <v>1970</v>
      </c>
      <c r="B106" s="41">
        <v>0.15243015926249998</v>
      </c>
      <c r="C106" s="41">
        <v>0.78392653334999962</v>
      </c>
      <c r="D106" s="41">
        <v>3.1357061333999985</v>
      </c>
      <c r="E106" s="43">
        <v>3.1357061333999985</v>
      </c>
      <c r="F106" s="19" t="s">
        <v>13</v>
      </c>
      <c r="G106" s="19" t="s">
        <v>16</v>
      </c>
      <c r="H106" s="19" t="s">
        <v>138</v>
      </c>
      <c r="L106" s="54">
        <v>0.1774154</v>
      </c>
      <c r="M106" s="55">
        <v>0.88707709999999995</v>
      </c>
      <c r="N106" s="55">
        <v>3.548308</v>
      </c>
      <c r="O106" s="56">
        <v>3.725724</v>
      </c>
      <c r="S106" s="19">
        <v>0.14000000000000001</v>
      </c>
      <c r="T106" s="19">
        <v>0.72</v>
      </c>
      <c r="U106" s="19">
        <v>2.88</v>
      </c>
      <c r="V106" s="19">
        <v>2.88</v>
      </c>
      <c r="Z106" s="19">
        <f t="shared" si="15"/>
        <v>0.12863247863247865</v>
      </c>
      <c r="AA106" s="19">
        <f t="shared" si="16"/>
        <v>0.66153846153846152</v>
      </c>
      <c r="AB106" s="19">
        <f t="shared" si="17"/>
        <v>2.6461538461538461</v>
      </c>
      <c r="AC106" s="19">
        <f t="shared" si="18"/>
        <v>2.6461538461538461</v>
      </c>
      <c r="AG106" s="19">
        <f t="shared" si="19"/>
        <v>0.1776923076923077</v>
      </c>
      <c r="AH106" s="19">
        <f t="shared" si="20"/>
        <v>0.91384615384615386</v>
      </c>
      <c r="AI106" s="19">
        <f t="shared" si="21"/>
        <v>3.6553846153846155</v>
      </c>
      <c r="AJ106" s="19">
        <f t="shared" si="22"/>
        <v>3.6553846153846155</v>
      </c>
      <c r="AN106" s="19">
        <f t="shared" si="23"/>
        <v>0.15243015926249998</v>
      </c>
      <c r="AO106" s="19">
        <f t="shared" si="24"/>
        <v>0.78392653334999962</v>
      </c>
      <c r="AP106" s="19">
        <f t="shared" si="25"/>
        <v>3.1357061333999985</v>
      </c>
      <c r="AQ106" s="19">
        <f t="shared" si="26"/>
        <v>3.1357061333999985</v>
      </c>
    </row>
    <row r="107" spans="1:43" x14ac:dyDescent="0.45">
      <c r="A107" s="21">
        <v>1971</v>
      </c>
      <c r="B107" s="41">
        <v>14.012686783631244</v>
      </c>
      <c r="C107" s="41">
        <v>60.710754860549976</v>
      </c>
      <c r="D107" s="41">
        <v>186.79227230767495</v>
      </c>
      <c r="E107" s="43">
        <v>186.79227230767495</v>
      </c>
      <c r="F107" s="19" t="s">
        <v>13</v>
      </c>
      <c r="G107" s="19" t="s">
        <v>16</v>
      </c>
      <c r="H107" s="19" t="s">
        <v>139</v>
      </c>
      <c r="L107" s="54">
        <v>15.861700000000001</v>
      </c>
      <c r="M107" s="55">
        <v>68.734039999999993</v>
      </c>
      <c r="N107" s="55">
        <v>211.48929999999999</v>
      </c>
      <c r="O107" s="56">
        <v>222.06379999999999</v>
      </c>
      <c r="S107" s="19">
        <v>12.87</v>
      </c>
      <c r="T107" s="19">
        <v>55.76</v>
      </c>
      <c r="U107" s="19">
        <v>171.56</v>
      </c>
      <c r="V107" s="19">
        <v>171.56</v>
      </c>
      <c r="Z107" s="19">
        <f t="shared" si="15"/>
        <v>11.824999999999999</v>
      </c>
      <c r="AA107" s="19">
        <f t="shared" si="16"/>
        <v>51.232478632478632</v>
      </c>
      <c r="AB107" s="19">
        <f t="shared" si="17"/>
        <v>157.62991452991454</v>
      </c>
      <c r="AC107" s="19">
        <f t="shared" si="18"/>
        <v>157.62991452991454</v>
      </c>
      <c r="AG107" s="19">
        <f t="shared" si="19"/>
        <v>16.335000000000001</v>
      </c>
      <c r="AH107" s="19">
        <f t="shared" si="20"/>
        <v>70.772307692307692</v>
      </c>
      <c r="AI107" s="19">
        <f t="shared" si="21"/>
        <v>217.74923076923076</v>
      </c>
      <c r="AJ107" s="19">
        <f t="shared" si="22"/>
        <v>217.74923076923076</v>
      </c>
      <c r="AN107" s="19">
        <f t="shared" si="23"/>
        <v>14.012686783631244</v>
      </c>
      <c r="AO107" s="19">
        <f t="shared" si="24"/>
        <v>60.710754860549976</v>
      </c>
      <c r="AP107" s="19">
        <f t="shared" si="25"/>
        <v>186.79227230767495</v>
      </c>
      <c r="AQ107" s="19">
        <f t="shared" si="26"/>
        <v>186.79227230767495</v>
      </c>
    </row>
    <row r="108" spans="1:43" x14ac:dyDescent="0.45">
      <c r="A108" s="21">
        <v>1972</v>
      </c>
      <c r="B108" s="41">
        <v>14.121565468818746</v>
      </c>
      <c r="C108" s="41">
        <v>61.211596812412481</v>
      </c>
      <c r="D108" s="41">
        <v>188.34923750585619</v>
      </c>
      <c r="E108" s="43">
        <v>188.34923750585619</v>
      </c>
      <c r="F108" s="19" t="s">
        <v>13</v>
      </c>
      <c r="G108" s="19" t="s">
        <v>16</v>
      </c>
      <c r="H108" s="19" t="s">
        <v>140</v>
      </c>
      <c r="L108" s="54">
        <v>15.99413</v>
      </c>
      <c r="M108" s="55">
        <v>69.30789</v>
      </c>
      <c r="N108" s="55">
        <v>213.255</v>
      </c>
      <c r="O108" s="56">
        <v>223.9178</v>
      </c>
      <c r="S108" s="19">
        <v>12.97</v>
      </c>
      <c r="T108" s="19">
        <v>56.22</v>
      </c>
      <c r="U108" s="19">
        <v>172.99</v>
      </c>
      <c r="V108" s="19">
        <v>172.99</v>
      </c>
      <c r="Z108" s="19">
        <f t="shared" si="15"/>
        <v>11.916880341880344</v>
      </c>
      <c r="AA108" s="19">
        <f t="shared" si="16"/>
        <v>51.6551282051282</v>
      </c>
      <c r="AB108" s="19">
        <f t="shared" si="17"/>
        <v>158.94380341880341</v>
      </c>
      <c r="AC108" s="19">
        <f t="shared" si="18"/>
        <v>158.94380341880341</v>
      </c>
      <c r="AG108" s="19">
        <f t="shared" si="19"/>
        <v>16.461923076923078</v>
      </c>
      <c r="AH108" s="19">
        <f t="shared" si="20"/>
        <v>71.356153846153845</v>
      </c>
      <c r="AI108" s="19">
        <f t="shared" si="21"/>
        <v>219.56423076923079</v>
      </c>
      <c r="AJ108" s="19">
        <f t="shared" si="22"/>
        <v>219.56423076923079</v>
      </c>
      <c r="AN108" s="19">
        <f t="shared" si="23"/>
        <v>14.121565468818746</v>
      </c>
      <c r="AO108" s="19">
        <f t="shared" si="24"/>
        <v>61.211596812412481</v>
      </c>
      <c r="AP108" s="19">
        <f t="shared" si="25"/>
        <v>188.34923750585619</v>
      </c>
      <c r="AQ108" s="19">
        <f t="shared" si="26"/>
        <v>188.34923750585619</v>
      </c>
    </row>
    <row r="109" spans="1:43" x14ac:dyDescent="0.45">
      <c r="A109" s="21">
        <v>1973</v>
      </c>
      <c r="B109" s="41">
        <v>15.460773296624993</v>
      </c>
      <c r="C109" s="41">
        <v>46.371432021356242</v>
      </c>
      <c r="D109" s="41">
        <v>154.57506936069367</v>
      </c>
      <c r="E109" s="43">
        <v>154.57506936069367</v>
      </c>
      <c r="F109" s="19" t="s">
        <v>13</v>
      </c>
      <c r="G109" s="19" t="s">
        <v>16</v>
      </c>
      <c r="H109" s="19" t="s">
        <v>141</v>
      </c>
      <c r="L109" s="54">
        <v>17.500959999999999</v>
      </c>
      <c r="M109" s="55">
        <v>52.502890000000001</v>
      </c>
      <c r="N109" s="55">
        <v>175.00960000000001</v>
      </c>
      <c r="O109" s="56">
        <v>183.76009999999999</v>
      </c>
      <c r="S109" s="19">
        <v>14.2</v>
      </c>
      <c r="T109" s="19">
        <v>42.59</v>
      </c>
      <c r="U109" s="19">
        <v>141.97</v>
      </c>
      <c r="V109" s="19">
        <v>141.97</v>
      </c>
      <c r="Z109" s="19">
        <f t="shared" si="15"/>
        <v>13.047008547008547</v>
      </c>
      <c r="AA109" s="19">
        <f t="shared" si="16"/>
        <v>39.131837606837607</v>
      </c>
      <c r="AB109" s="19">
        <f t="shared" si="17"/>
        <v>130.44252136752135</v>
      </c>
      <c r="AC109" s="19">
        <f t="shared" si="18"/>
        <v>130.44252136752135</v>
      </c>
      <c r="AG109" s="19">
        <f t="shared" si="19"/>
        <v>18.023076923076921</v>
      </c>
      <c r="AH109" s="19">
        <f t="shared" si="20"/>
        <v>54.056538461538466</v>
      </c>
      <c r="AI109" s="19">
        <f t="shared" si="21"/>
        <v>180.19269230769228</v>
      </c>
      <c r="AJ109" s="19">
        <f t="shared" si="22"/>
        <v>180.19269230769228</v>
      </c>
      <c r="AN109" s="19">
        <f t="shared" si="23"/>
        <v>15.460773296624993</v>
      </c>
      <c r="AO109" s="19">
        <f t="shared" si="24"/>
        <v>46.371432021356242</v>
      </c>
      <c r="AP109" s="19">
        <f t="shared" si="25"/>
        <v>154.57506936069367</v>
      </c>
      <c r="AQ109" s="19">
        <f t="shared" si="26"/>
        <v>154.57506936069367</v>
      </c>
    </row>
    <row r="110" spans="1:43" x14ac:dyDescent="0.45">
      <c r="A110" s="21">
        <v>1974</v>
      </c>
      <c r="B110" s="41">
        <v>5.193513283443747</v>
      </c>
      <c r="C110" s="41">
        <v>20.774053133774988</v>
      </c>
      <c r="D110" s="41">
        <v>103.84848993183746</v>
      </c>
      <c r="E110" s="43">
        <v>103.84848993183746</v>
      </c>
      <c r="F110" s="19" t="s">
        <v>13</v>
      </c>
      <c r="G110" s="19" t="s">
        <v>16</v>
      </c>
      <c r="H110" s="19" t="s">
        <v>142</v>
      </c>
      <c r="L110" s="54">
        <v>5.8792549999999997</v>
      </c>
      <c r="M110" s="55">
        <v>23.517019999999999</v>
      </c>
      <c r="N110" s="55">
        <v>117.5851</v>
      </c>
      <c r="O110" s="56">
        <v>123.4644</v>
      </c>
      <c r="S110" s="19">
        <v>4.7699999999999996</v>
      </c>
      <c r="T110" s="19">
        <v>19.079999999999998</v>
      </c>
      <c r="U110" s="19">
        <v>95.38</v>
      </c>
      <c r="V110" s="19">
        <v>95.38</v>
      </c>
      <c r="Z110" s="19">
        <f t="shared" si="15"/>
        <v>4.3826923076923077</v>
      </c>
      <c r="AA110" s="19">
        <f t="shared" si="16"/>
        <v>17.530769230769231</v>
      </c>
      <c r="AB110" s="19">
        <f t="shared" si="17"/>
        <v>87.635470085470089</v>
      </c>
      <c r="AC110" s="19">
        <f t="shared" si="18"/>
        <v>87.635470085470089</v>
      </c>
      <c r="AG110" s="19">
        <f t="shared" si="19"/>
        <v>6.0542307692307684</v>
      </c>
      <c r="AH110" s="19">
        <f t="shared" si="20"/>
        <v>24.216923076923074</v>
      </c>
      <c r="AI110" s="19">
        <f t="shared" si="21"/>
        <v>121.05923076923075</v>
      </c>
      <c r="AJ110" s="19">
        <f t="shared" si="22"/>
        <v>121.05923076923075</v>
      </c>
      <c r="AN110" s="19">
        <f t="shared" si="23"/>
        <v>5.193513283443747</v>
      </c>
      <c r="AO110" s="19">
        <f t="shared" si="24"/>
        <v>20.774053133774988</v>
      </c>
      <c r="AP110" s="19">
        <f t="shared" si="25"/>
        <v>103.84848993183746</v>
      </c>
      <c r="AQ110" s="19">
        <f t="shared" si="26"/>
        <v>103.84848993183746</v>
      </c>
    </row>
    <row r="111" spans="1:43" x14ac:dyDescent="0.45">
      <c r="A111" s="21">
        <v>1975</v>
      </c>
      <c r="B111" s="41">
        <v>4.6817834630624979</v>
      </c>
      <c r="C111" s="41">
        <v>18.705358115212494</v>
      </c>
      <c r="D111" s="41">
        <v>93.548566313099968</v>
      </c>
      <c r="E111" s="43">
        <v>93.548566313099968</v>
      </c>
      <c r="F111" s="19" t="s">
        <v>13</v>
      </c>
      <c r="G111" s="19" t="s">
        <v>16</v>
      </c>
      <c r="H111" s="19" t="s">
        <v>143</v>
      </c>
      <c r="L111" s="54">
        <v>5.2962280000000002</v>
      </c>
      <c r="M111" s="55">
        <v>21.184909999999999</v>
      </c>
      <c r="N111" s="55">
        <v>105.9246</v>
      </c>
      <c r="O111" s="56">
        <v>111.2208</v>
      </c>
      <c r="S111" s="19">
        <v>4.3</v>
      </c>
      <c r="T111" s="19">
        <v>17.18</v>
      </c>
      <c r="U111" s="19">
        <v>85.92</v>
      </c>
      <c r="V111" s="19">
        <v>85.92</v>
      </c>
      <c r="Z111" s="19">
        <f t="shared" si="15"/>
        <v>3.950854700854701</v>
      </c>
      <c r="AA111" s="19">
        <f t="shared" si="16"/>
        <v>15.785042735042735</v>
      </c>
      <c r="AB111" s="19">
        <f t="shared" si="17"/>
        <v>78.94358974358974</v>
      </c>
      <c r="AC111" s="19">
        <f t="shared" si="18"/>
        <v>78.94358974358974</v>
      </c>
      <c r="AG111" s="19">
        <f t="shared" si="19"/>
        <v>5.457692307692307</v>
      </c>
      <c r="AH111" s="19">
        <f t="shared" si="20"/>
        <v>21.805384615384614</v>
      </c>
      <c r="AI111" s="19">
        <f t="shared" si="21"/>
        <v>109.05230769230769</v>
      </c>
      <c r="AJ111" s="19">
        <f t="shared" si="22"/>
        <v>109.05230769230769</v>
      </c>
      <c r="AN111" s="19">
        <f t="shared" si="23"/>
        <v>4.6817834630624979</v>
      </c>
      <c r="AO111" s="19">
        <f t="shared" si="24"/>
        <v>18.705358115212494</v>
      </c>
      <c r="AP111" s="19">
        <f t="shared" si="25"/>
        <v>93.548566313099968</v>
      </c>
      <c r="AQ111" s="19">
        <f t="shared" si="26"/>
        <v>93.548566313099968</v>
      </c>
    </row>
    <row r="112" spans="1:43" x14ac:dyDescent="0.45">
      <c r="A112" s="21">
        <v>1976</v>
      </c>
      <c r="B112" s="41">
        <v>13.141657302131247</v>
      </c>
      <c r="C112" s="41">
        <v>39.414084037874993</v>
      </c>
      <c r="D112" s="41">
        <v>131.38390941575622</v>
      </c>
      <c r="E112" s="43">
        <v>131.38390941575622</v>
      </c>
      <c r="F112" s="19" t="s">
        <v>13</v>
      </c>
      <c r="G112" s="19" t="s">
        <v>16</v>
      </c>
      <c r="H112" s="19" t="s">
        <v>144</v>
      </c>
      <c r="L112" s="54">
        <v>14.87518</v>
      </c>
      <c r="M112" s="55">
        <v>44.625549999999997</v>
      </c>
      <c r="N112" s="55">
        <v>148.7518</v>
      </c>
      <c r="O112" s="56">
        <v>156.18940000000001</v>
      </c>
      <c r="S112" s="19">
        <v>12.07</v>
      </c>
      <c r="T112" s="19">
        <v>36.200000000000003</v>
      </c>
      <c r="U112" s="19">
        <v>120.67</v>
      </c>
      <c r="V112" s="19">
        <v>120.67</v>
      </c>
      <c r="Z112" s="19">
        <f t="shared" si="15"/>
        <v>11.089957264957265</v>
      </c>
      <c r="AA112" s="19">
        <f t="shared" si="16"/>
        <v>33.260683760683762</v>
      </c>
      <c r="AB112" s="19">
        <f t="shared" si="17"/>
        <v>110.87200854700855</v>
      </c>
      <c r="AC112" s="19">
        <f t="shared" si="18"/>
        <v>110.87200854700855</v>
      </c>
      <c r="AG112" s="19">
        <f t="shared" si="19"/>
        <v>15.319615384615384</v>
      </c>
      <c r="AH112" s="19">
        <f t="shared" si="20"/>
        <v>45.946153846153855</v>
      </c>
      <c r="AI112" s="19">
        <f t="shared" si="21"/>
        <v>153.15807692307692</v>
      </c>
      <c r="AJ112" s="19">
        <f t="shared" si="22"/>
        <v>153.15807692307692</v>
      </c>
      <c r="AN112" s="19">
        <f t="shared" si="23"/>
        <v>13.141657302131247</v>
      </c>
      <c r="AO112" s="19">
        <f t="shared" si="24"/>
        <v>39.414084037874993</v>
      </c>
      <c r="AP112" s="19">
        <f t="shared" si="25"/>
        <v>131.38390941575622</v>
      </c>
      <c r="AQ112" s="19">
        <f t="shared" si="26"/>
        <v>131.38390941575622</v>
      </c>
    </row>
    <row r="113" spans="1:43" x14ac:dyDescent="0.45">
      <c r="A113" s="21">
        <v>1977</v>
      </c>
      <c r="B113" s="41">
        <v>59.066686714218733</v>
      </c>
      <c r="C113" s="41">
        <v>177.20006014265618</v>
      </c>
      <c r="D113" s="41">
        <v>472.52260584523106</v>
      </c>
      <c r="E113" s="43">
        <v>472.52260584523106</v>
      </c>
      <c r="F113" s="19" t="s">
        <v>13</v>
      </c>
      <c r="G113" s="19" t="s">
        <v>16</v>
      </c>
      <c r="H113" s="19" t="s">
        <v>145</v>
      </c>
      <c r="L113" s="54">
        <v>66.876310000000004</v>
      </c>
      <c r="M113" s="55">
        <v>200.62889999999999</v>
      </c>
      <c r="N113" s="55">
        <v>535.01049999999998</v>
      </c>
      <c r="O113" s="56">
        <v>561.76099999999997</v>
      </c>
      <c r="S113" s="19">
        <v>54.25</v>
      </c>
      <c r="T113" s="19">
        <v>162.75</v>
      </c>
      <c r="U113" s="19">
        <v>433.99</v>
      </c>
      <c r="V113" s="19">
        <v>433.99</v>
      </c>
      <c r="Z113" s="19">
        <f t="shared" si="15"/>
        <v>49.845085470085472</v>
      </c>
      <c r="AA113" s="19">
        <f t="shared" si="16"/>
        <v>149.53525641025641</v>
      </c>
      <c r="AB113" s="19">
        <f t="shared" si="17"/>
        <v>398.75149572649576</v>
      </c>
      <c r="AC113" s="19">
        <f t="shared" si="18"/>
        <v>398.75149572649576</v>
      </c>
      <c r="AG113" s="19">
        <f t="shared" si="19"/>
        <v>68.855769230769226</v>
      </c>
      <c r="AH113" s="19">
        <f t="shared" si="20"/>
        <v>206.56730769230768</v>
      </c>
      <c r="AI113" s="19">
        <f t="shared" si="21"/>
        <v>550.83346153846151</v>
      </c>
      <c r="AJ113" s="19">
        <f t="shared" si="22"/>
        <v>550.83346153846151</v>
      </c>
      <c r="AN113" s="19">
        <f t="shared" si="23"/>
        <v>59.066686714218733</v>
      </c>
      <c r="AO113" s="19">
        <f t="shared" si="24"/>
        <v>177.20006014265618</v>
      </c>
      <c r="AP113" s="19">
        <f t="shared" si="25"/>
        <v>472.52260584523106</v>
      </c>
      <c r="AQ113" s="19">
        <f t="shared" si="26"/>
        <v>472.52260584523106</v>
      </c>
    </row>
    <row r="114" spans="1:43" x14ac:dyDescent="0.45">
      <c r="A114" s="21">
        <v>1978</v>
      </c>
      <c r="B114" s="41">
        <v>51.532281699243725</v>
      </c>
      <c r="C114" s="41">
        <v>257.68318423325616</v>
      </c>
      <c r="D114" s="41">
        <v>1030.7327369330246</v>
      </c>
      <c r="E114" s="43">
        <v>1030.7327369330246</v>
      </c>
      <c r="F114" s="19" t="s">
        <v>13</v>
      </c>
      <c r="G114" s="19" t="s">
        <v>16</v>
      </c>
      <c r="H114" s="19" t="s">
        <v>146</v>
      </c>
      <c r="L114" s="54">
        <v>58.351419999999997</v>
      </c>
      <c r="M114" s="55">
        <v>291.75709999999998</v>
      </c>
      <c r="N114" s="55">
        <v>1167.028</v>
      </c>
      <c r="O114" s="56">
        <v>1225.3800000000001</v>
      </c>
      <c r="S114" s="19">
        <v>47.33</v>
      </c>
      <c r="T114" s="19">
        <v>236.67</v>
      </c>
      <c r="U114" s="19">
        <v>946.68</v>
      </c>
      <c r="V114" s="19">
        <v>946.68</v>
      </c>
      <c r="Z114" s="19">
        <f t="shared" si="15"/>
        <v>43.48696581196581</v>
      </c>
      <c r="AA114" s="19">
        <f t="shared" si="16"/>
        <v>217.4532051282051</v>
      </c>
      <c r="AB114" s="19">
        <f t="shared" si="17"/>
        <v>869.81282051282039</v>
      </c>
      <c r="AC114" s="19">
        <f t="shared" si="18"/>
        <v>869.81282051282039</v>
      </c>
      <c r="AG114" s="19">
        <f t="shared" si="19"/>
        <v>60.072692307692307</v>
      </c>
      <c r="AH114" s="19">
        <f t="shared" si="20"/>
        <v>300.38884615384609</v>
      </c>
      <c r="AI114" s="19">
        <f t="shared" si="21"/>
        <v>1201.5553846153844</v>
      </c>
      <c r="AJ114" s="19">
        <f t="shared" si="22"/>
        <v>1201.5553846153844</v>
      </c>
      <c r="AN114" s="19">
        <f t="shared" si="23"/>
        <v>51.532281699243725</v>
      </c>
      <c r="AO114" s="19">
        <f t="shared" si="24"/>
        <v>257.68318423325616</v>
      </c>
      <c r="AP114" s="19">
        <f t="shared" si="25"/>
        <v>1030.7327369330246</v>
      </c>
      <c r="AQ114" s="19">
        <f t="shared" si="26"/>
        <v>1030.7327369330246</v>
      </c>
    </row>
    <row r="115" spans="1:43" x14ac:dyDescent="0.45">
      <c r="A115" s="21">
        <v>1979</v>
      </c>
      <c r="B115" s="41">
        <v>3.6474359537812484</v>
      </c>
      <c r="C115" s="41">
        <v>18.248067637424995</v>
      </c>
      <c r="D115" s="41">
        <v>100.59301724473121</v>
      </c>
      <c r="E115" s="43">
        <v>100.59301724473121</v>
      </c>
      <c r="F115" s="19" t="s">
        <v>28</v>
      </c>
      <c r="G115" s="19" t="s">
        <v>31</v>
      </c>
      <c r="H115" s="19" t="s">
        <v>147</v>
      </c>
      <c r="L115" s="54">
        <v>4.1318979999999996</v>
      </c>
      <c r="M115" s="55">
        <v>20.659490000000002</v>
      </c>
      <c r="N115" s="55">
        <v>113.8897</v>
      </c>
      <c r="O115" s="56">
        <v>119.58410000000001</v>
      </c>
      <c r="S115" s="19">
        <v>3.35</v>
      </c>
      <c r="T115" s="19">
        <v>16.760000000000002</v>
      </c>
      <c r="U115" s="19">
        <v>92.39</v>
      </c>
      <c r="V115" s="19">
        <v>92.39</v>
      </c>
      <c r="Z115" s="19">
        <f t="shared" si="15"/>
        <v>3.0779914529914532</v>
      </c>
      <c r="AA115" s="19">
        <f t="shared" si="16"/>
        <v>15.399145299145301</v>
      </c>
      <c r="AB115" s="19">
        <f t="shared" si="17"/>
        <v>84.888247863247855</v>
      </c>
      <c r="AC115" s="19">
        <f t="shared" si="18"/>
        <v>84.888247863247855</v>
      </c>
      <c r="AG115" s="19">
        <f t="shared" si="19"/>
        <v>4.2519230769230774</v>
      </c>
      <c r="AH115" s="19">
        <f t="shared" si="20"/>
        <v>21.272307692307692</v>
      </c>
      <c r="AI115" s="19">
        <f t="shared" si="21"/>
        <v>117.26423076923078</v>
      </c>
      <c r="AJ115" s="19">
        <f t="shared" si="22"/>
        <v>117.26423076923078</v>
      </c>
      <c r="AN115" s="19">
        <f t="shared" si="23"/>
        <v>3.6474359537812484</v>
      </c>
      <c r="AO115" s="19">
        <f t="shared" si="24"/>
        <v>18.248067637424995</v>
      </c>
      <c r="AP115" s="19">
        <f t="shared" si="25"/>
        <v>100.59301724473121</v>
      </c>
      <c r="AQ115" s="19">
        <f t="shared" si="26"/>
        <v>100.59301724473121</v>
      </c>
    </row>
    <row r="116" spans="1:43" x14ac:dyDescent="0.45">
      <c r="A116" s="21">
        <v>1980</v>
      </c>
      <c r="B116" s="41">
        <v>2.4062189426437488</v>
      </c>
      <c r="C116" s="41">
        <v>9.6139879020562464</v>
      </c>
      <c r="D116" s="41">
        <v>50.138634528843731</v>
      </c>
      <c r="E116" s="43">
        <v>50.138634528843731</v>
      </c>
      <c r="F116" s="19" t="s">
        <v>28</v>
      </c>
      <c r="G116" s="19" t="s">
        <v>31</v>
      </c>
      <c r="H116" s="19" t="s">
        <v>148</v>
      </c>
      <c r="L116" s="54">
        <v>2.7221649999999999</v>
      </c>
      <c r="M116" s="55">
        <v>10.88866</v>
      </c>
      <c r="N116" s="55">
        <v>56.770740000000004</v>
      </c>
      <c r="O116" s="56">
        <v>59.609279999999998</v>
      </c>
      <c r="S116" s="19">
        <v>2.21</v>
      </c>
      <c r="T116" s="19">
        <v>8.83</v>
      </c>
      <c r="U116" s="19">
        <v>46.05</v>
      </c>
      <c r="V116" s="19">
        <v>46.05</v>
      </c>
      <c r="Z116" s="19">
        <f t="shared" si="15"/>
        <v>2.0305555555555554</v>
      </c>
      <c r="AA116" s="19">
        <f t="shared" si="16"/>
        <v>8.1130341880341881</v>
      </c>
      <c r="AB116" s="19">
        <f t="shared" si="17"/>
        <v>42.310897435897438</v>
      </c>
      <c r="AC116" s="19">
        <f t="shared" si="18"/>
        <v>42.310897435897438</v>
      </c>
      <c r="AG116" s="19">
        <f t="shared" si="19"/>
        <v>2.8050000000000002</v>
      </c>
      <c r="AH116" s="19">
        <f t="shared" si="20"/>
        <v>11.207307692307694</v>
      </c>
      <c r="AI116" s="19">
        <f t="shared" si="21"/>
        <v>58.448076923076918</v>
      </c>
      <c r="AJ116" s="19">
        <f t="shared" si="22"/>
        <v>58.448076923076918</v>
      </c>
      <c r="AN116" s="19">
        <f t="shared" si="23"/>
        <v>2.4062189426437488</v>
      </c>
      <c r="AO116" s="19">
        <f t="shared" si="24"/>
        <v>9.6139879020562464</v>
      </c>
      <c r="AP116" s="19">
        <f t="shared" si="25"/>
        <v>50.138634528843731</v>
      </c>
      <c r="AQ116" s="19">
        <f t="shared" si="26"/>
        <v>50.138634528843731</v>
      </c>
    </row>
    <row r="117" spans="1:43" x14ac:dyDescent="0.45">
      <c r="A117" s="21">
        <v>1981</v>
      </c>
      <c r="B117" s="41">
        <v>14.110677600299995</v>
      </c>
      <c r="C117" s="41">
        <v>61.157157469818728</v>
      </c>
      <c r="D117" s="41">
        <v>196.22116644491243</v>
      </c>
      <c r="E117" s="43">
        <v>196.22116644491243</v>
      </c>
      <c r="F117" s="19" t="s">
        <v>28</v>
      </c>
      <c r="G117" s="19" t="s">
        <v>31</v>
      </c>
      <c r="H117" s="19" t="s">
        <v>61</v>
      </c>
      <c r="L117" s="54">
        <v>15.97902</v>
      </c>
      <c r="M117" s="55">
        <v>69.242429999999999</v>
      </c>
      <c r="N117" s="55">
        <v>222.1617</v>
      </c>
      <c r="O117" s="56">
        <v>233.2698</v>
      </c>
      <c r="S117" s="19">
        <v>12.96</v>
      </c>
      <c r="T117" s="19">
        <v>56.17</v>
      </c>
      <c r="U117" s="19">
        <v>180.22</v>
      </c>
      <c r="V117" s="19">
        <v>180.22</v>
      </c>
      <c r="Z117" s="19">
        <f t="shared" si="15"/>
        <v>11.907692307692308</v>
      </c>
      <c r="AA117" s="19">
        <f t="shared" si="16"/>
        <v>51.609188034188037</v>
      </c>
      <c r="AB117" s="19">
        <f t="shared" si="17"/>
        <v>165.58675213675215</v>
      </c>
      <c r="AC117" s="19">
        <f t="shared" si="18"/>
        <v>165.58675213675215</v>
      </c>
      <c r="AG117" s="19">
        <f t="shared" si="19"/>
        <v>16.44923076923077</v>
      </c>
      <c r="AH117" s="19">
        <f t="shared" si="20"/>
        <v>71.29269230769232</v>
      </c>
      <c r="AI117" s="19">
        <f t="shared" si="21"/>
        <v>228.74076923076922</v>
      </c>
      <c r="AJ117" s="19">
        <f t="shared" si="22"/>
        <v>228.74076923076922</v>
      </c>
      <c r="AN117" s="19">
        <f t="shared" si="23"/>
        <v>14.110677600299995</v>
      </c>
      <c r="AO117" s="19">
        <f t="shared" si="24"/>
        <v>61.157157469818728</v>
      </c>
      <c r="AP117" s="19">
        <f t="shared" si="25"/>
        <v>196.22116644491243</v>
      </c>
      <c r="AQ117" s="19">
        <f t="shared" si="26"/>
        <v>196.22116644491243</v>
      </c>
    </row>
    <row r="118" spans="1:43" x14ac:dyDescent="0.45">
      <c r="A118" s="21">
        <v>1982</v>
      </c>
      <c r="B118" s="41">
        <v>2.5259854963499988</v>
      </c>
      <c r="C118" s="41">
        <v>10.103941985399995</v>
      </c>
      <c r="D118" s="41">
        <v>51.445178751093728</v>
      </c>
      <c r="E118" s="43">
        <v>51.445178751093728</v>
      </c>
      <c r="F118" s="19" t="s">
        <v>28</v>
      </c>
      <c r="G118" s="19" t="s">
        <v>31</v>
      </c>
      <c r="H118" s="19" t="s">
        <v>149</v>
      </c>
      <c r="L118" s="54">
        <v>2.8593069999999998</v>
      </c>
      <c r="M118" s="55">
        <v>11.43723</v>
      </c>
      <c r="N118" s="55">
        <v>58.24409</v>
      </c>
      <c r="O118" s="56">
        <v>61.156289999999998</v>
      </c>
      <c r="S118" s="19">
        <v>2.3199999999999998</v>
      </c>
      <c r="T118" s="19">
        <v>9.2799999999999994</v>
      </c>
      <c r="U118" s="19">
        <v>47.25</v>
      </c>
      <c r="V118" s="19">
        <v>47.25</v>
      </c>
      <c r="Z118" s="19">
        <f t="shared" si="15"/>
        <v>2.1316239316239316</v>
      </c>
      <c r="AA118" s="19">
        <f t="shared" si="16"/>
        <v>8.5264957264957264</v>
      </c>
      <c r="AB118" s="19">
        <f t="shared" si="17"/>
        <v>43.41346153846154</v>
      </c>
      <c r="AC118" s="19">
        <f t="shared" si="18"/>
        <v>43.41346153846154</v>
      </c>
      <c r="AG118" s="19">
        <f t="shared" si="19"/>
        <v>2.9446153846153846</v>
      </c>
      <c r="AH118" s="19">
        <f t="shared" si="20"/>
        <v>11.778461538461539</v>
      </c>
      <c r="AI118" s="19">
        <f t="shared" si="21"/>
        <v>59.971153846153847</v>
      </c>
      <c r="AJ118" s="19">
        <f t="shared" si="22"/>
        <v>59.971153846153847</v>
      </c>
      <c r="AN118" s="19">
        <f t="shared" si="23"/>
        <v>2.5259854963499988</v>
      </c>
      <c r="AO118" s="19">
        <f t="shared" si="24"/>
        <v>10.103941985399995</v>
      </c>
      <c r="AP118" s="19">
        <f t="shared" si="25"/>
        <v>51.445178751093728</v>
      </c>
      <c r="AQ118" s="19">
        <f t="shared" si="26"/>
        <v>51.445178751093728</v>
      </c>
    </row>
    <row r="119" spans="1:43" x14ac:dyDescent="0.45">
      <c r="A119" s="21">
        <v>1983</v>
      </c>
      <c r="B119" s="41">
        <v>58.881592949399973</v>
      </c>
      <c r="C119" s="41">
        <v>294.40796474699982</v>
      </c>
      <c r="D119" s="41">
        <v>1177.6318589879993</v>
      </c>
      <c r="E119" s="43">
        <v>1177.6318589879993</v>
      </c>
      <c r="F119" s="19" t="s">
        <v>42</v>
      </c>
      <c r="G119" s="19" t="s">
        <v>43</v>
      </c>
      <c r="H119" s="19" t="s">
        <v>150</v>
      </c>
      <c r="L119" s="54">
        <v>66.667299999999997</v>
      </c>
      <c r="M119" s="55">
        <v>333.3365</v>
      </c>
      <c r="N119" s="55">
        <v>1333.346</v>
      </c>
      <c r="O119" s="56">
        <v>1400.0129999999999</v>
      </c>
      <c r="S119" s="19">
        <v>54.08</v>
      </c>
      <c r="T119" s="19">
        <v>270.39999999999998</v>
      </c>
      <c r="U119" s="19">
        <v>1081.5999999999999</v>
      </c>
      <c r="V119" s="19">
        <v>1081.5999999999999</v>
      </c>
      <c r="Z119" s="19">
        <f t="shared" si="15"/>
        <v>49.688888888888883</v>
      </c>
      <c r="AA119" s="19">
        <f t="shared" si="16"/>
        <v>248.4444444444444</v>
      </c>
      <c r="AB119" s="19">
        <f t="shared" si="17"/>
        <v>993.7777777777776</v>
      </c>
      <c r="AC119" s="19">
        <f t="shared" si="18"/>
        <v>993.7777777777776</v>
      </c>
      <c r="AG119" s="19">
        <f t="shared" si="19"/>
        <v>68.64</v>
      </c>
      <c r="AH119" s="19">
        <f t="shared" si="20"/>
        <v>343.19999999999993</v>
      </c>
      <c r="AI119" s="19">
        <f t="shared" si="21"/>
        <v>1372.7999999999997</v>
      </c>
      <c r="AJ119" s="19">
        <f t="shared" si="22"/>
        <v>1372.7999999999997</v>
      </c>
      <c r="AN119" s="19">
        <f t="shared" si="23"/>
        <v>58.881592949399973</v>
      </c>
      <c r="AO119" s="19">
        <f t="shared" si="24"/>
        <v>294.40796474699982</v>
      </c>
      <c r="AP119" s="19">
        <f t="shared" si="25"/>
        <v>1177.6318589879993</v>
      </c>
      <c r="AQ119" s="19">
        <f t="shared" si="26"/>
        <v>1177.6318589879993</v>
      </c>
    </row>
    <row r="120" spans="1:43" x14ac:dyDescent="0.45">
      <c r="A120" s="21">
        <v>1984</v>
      </c>
      <c r="B120" s="41">
        <v>117.10991378767498</v>
      </c>
      <c r="C120" s="41">
        <v>351.32974136302482</v>
      </c>
      <c r="D120" s="41">
        <v>1171.0882500082305</v>
      </c>
      <c r="E120" s="43">
        <v>1171.0882500082305</v>
      </c>
      <c r="F120" s="19" t="s">
        <v>42</v>
      </c>
      <c r="G120" s="19" t="s">
        <v>43</v>
      </c>
      <c r="H120" s="19" t="s">
        <v>151</v>
      </c>
      <c r="L120" s="54">
        <v>132.59399999999999</v>
      </c>
      <c r="M120" s="55">
        <v>397.78190000000001</v>
      </c>
      <c r="N120" s="55">
        <v>1325.94</v>
      </c>
      <c r="O120" s="56">
        <v>1392.2370000000001</v>
      </c>
      <c r="S120" s="19">
        <v>107.56</v>
      </c>
      <c r="T120" s="19">
        <v>322.68</v>
      </c>
      <c r="U120" s="19">
        <v>1075.5899999999999</v>
      </c>
      <c r="V120" s="19">
        <v>1075.5899999999999</v>
      </c>
      <c r="Z120" s="19">
        <f t="shared" si="15"/>
        <v>98.826495726495736</v>
      </c>
      <c r="AA120" s="19">
        <f t="shared" si="16"/>
        <v>296.47948717948719</v>
      </c>
      <c r="AB120" s="19">
        <f t="shared" si="17"/>
        <v>988.25576923076915</v>
      </c>
      <c r="AC120" s="19">
        <f t="shared" si="18"/>
        <v>988.25576923076915</v>
      </c>
      <c r="AG120" s="19">
        <f t="shared" si="19"/>
        <v>136.51846153846154</v>
      </c>
      <c r="AH120" s="19">
        <f t="shared" si="20"/>
        <v>409.55538461538464</v>
      </c>
      <c r="AI120" s="19">
        <f t="shared" si="21"/>
        <v>1365.1719230769229</v>
      </c>
      <c r="AJ120" s="19">
        <f t="shared" si="22"/>
        <v>1365.1719230769229</v>
      </c>
      <c r="AN120" s="19">
        <f t="shared" si="23"/>
        <v>117.10991378767498</v>
      </c>
      <c r="AO120" s="19">
        <f t="shared" si="24"/>
        <v>351.32974136302482</v>
      </c>
      <c r="AP120" s="19">
        <f t="shared" si="25"/>
        <v>1171.0882500082305</v>
      </c>
      <c r="AQ120" s="19">
        <f t="shared" si="26"/>
        <v>1171.0882500082305</v>
      </c>
    </row>
    <row r="121" spans="1:43" x14ac:dyDescent="0.45">
      <c r="A121" s="21">
        <v>1985</v>
      </c>
      <c r="B121" s="41">
        <v>146.11519552162494</v>
      </c>
      <c r="C121" s="41">
        <v>438.3564744333936</v>
      </c>
      <c r="D121" s="41">
        <v>1461.2063945588434</v>
      </c>
      <c r="E121" s="43">
        <v>1461.2063945588434</v>
      </c>
      <c r="F121" s="19" t="s">
        <v>42</v>
      </c>
      <c r="G121" s="19" t="s">
        <v>43</v>
      </c>
      <c r="H121" s="19" t="s">
        <v>152</v>
      </c>
      <c r="L121" s="54">
        <v>165.44210000000001</v>
      </c>
      <c r="M121" s="55">
        <v>496.32619999999997</v>
      </c>
      <c r="N121" s="55">
        <v>1654.421</v>
      </c>
      <c r="O121" s="56">
        <v>1737.1420000000001</v>
      </c>
      <c r="S121" s="19">
        <v>134.19999999999999</v>
      </c>
      <c r="T121" s="19">
        <v>402.61</v>
      </c>
      <c r="U121" s="19">
        <v>1342.05</v>
      </c>
      <c r="V121" s="19">
        <v>1342.05</v>
      </c>
      <c r="Z121" s="19">
        <f t="shared" si="15"/>
        <v>123.30341880341879</v>
      </c>
      <c r="AA121" s="19">
        <f t="shared" si="16"/>
        <v>369.91944444444448</v>
      </c>
      <c r="AB121" s="19">
        <f t="shared" si="17"/>
        <v>1233.0801282051282</v>
      </c>
      <c r="AC121" s="19">
        <f t="shared" si="18"/>
        <v>1233.0801282051282</v>
      </c>
      <c r="AG121" s="19">
        <f t="shared" si="19"/>
        <v>170.33076923076919</v>
      </c>
      <c r="AH121" s="19">
        <f t="shared" si="20"/>
        <v>511.005</v>
      </c>
      <c r="AI121" s="19">
        <f t="shared" si="21"/>
        <v>1703.3711538461537</v>
      </c>
      <c r="AJ121" s="19">
        <f t="shared" si="22"/>
        <v>1703.3711538461537</v>
      </c>
      <c r="AN121" s="19">
        <f t="shared" si="23"/>
        <v>146.11519552162494</v>
      </c>
      <c r="AO121" s="19">
        <f t="shared" si="24"/>
        <v>438.3564744333936</v>
      </c>
      <c r="AP121" s="19">
        <f t="shared" si="25"/>
        <v>1461.2063945588434</v>
      </c>
      <c r="AQ121" s="19">
        <f t="shared" si="26"/>
        <v>1461.2063945588434</v>
      </c>
    </row>
    <row r="122" spans="1:43" x14ac:dyDescent="0.45">
      <c r="A122" s="21">
        <v>1989</v>
      </c>
      <c r="B122" s="41">
        <v>1.7202832259624996</v>
      </c>
      <c r="C122" s="41">
        <v>6.9029086408874978</v>
      </c>
      <c r="D122" s="41">
        <v>34.503655335918744</v>
      </c>
      <c r="E122" s="43">
        <v>34.503655335918744</v>
      </c>
      <c r="F122" s="19" t="s">
        <v>111</v>
      </c>
      <c r="G122" s="19" t="s">
        <v>153</v>
      </c>
      <c r="H122" s="19" t="s">
        <v>154</v>
      </c>
      <c r="L122" s="54">
        <v>1.9531750000000001</v>
      </c>
      <c r="M122" s="55">
        <v>7.8126980000000001</v>
      </c>
      <c r="N122" s="55">
        <v>39.063490000000002</v>
      </c>
      <c r="O122" s="56">
        <v>41.016669999999998</v>
      </c>
      <c r="S122" s="19">
        <v>1.58</v>
      </c>
      <c r="T122" s="19">
        <v>6.34</v>
      </c>
      <c r="U122" s="19">
        <v>31.69</v>
      </c>
      <c r="V122" s="19">
        <v>31.69</v>
      </c>
      <c r="Z122" s="19">
        <f t="shared" si="15"/>
        <v>1.4517094017094017</v>
      </c>
      <c r="AA122" s="19">
        <f t="shared" si="16"/>
        <v>5.8252136752136749</v>
      </c>
      <c r="AB122" s="19">
        <f t="shared" si="17"/>
        <v>29.116880341880343</v>
      </c>
      <c r="AC122" s="19">
        <f t="shared" si="18"/>
        <v>29.116880341880343</v>
      </c>
      <c r="AG122" s="19">
        <f t="shared" si="19"/>
        <v>2.0053846153846155</v>
      </c>
      <c r="AH122" s="19">
        <f t="shared" si="20"/>
        <v>8.0469230769230773</v>
      </c>
      <c r="AI122" s="19">
        <f t="shared" si="21"/>
        <v>40.221923076923076</v>
      </c>
      <c r="AJ122" s="19">
        <f t="shared" si="22"/>
        <v>40.221923076923076</v>
      </c>
      <c r="AN122" s="19">
        <f t="shared" si="23"/>
        <v>1.7202832259624996</v>
      </c>
      <c r="AO122" s="19">
        <f t="shared" si="24"/>
        <v>6.9029086408874978</v>
      </c>
      <c r="AP122" s="19">
        <f t="shared" si="25"/>
        <v>34.503655335918744</v>
      </c>
      <c r="AQ122" s="19">
        <f t="shared" si="26"/>
        <v>34.503655335918744</v>
      </c>
    </row>
    <row r="123" spans="1:43" x14ac:dyDescent="0.45">
      <c r="A123" s="21">
        <v>1991</v>
      </c>
      <c r="B123" s="41">
        <v>1.4263107759562494</v>
      </c>
      <c r="C123" s="41">
        <v>5.694355235306249</v>
      </c>
      <c r="D123" s="41">
        <v>28.493551913568741</v>
      </c>
      <c r="E123" s="43">
        <v>28.493551913568741</v>
      </c>
      <c r="F123" s="19" t="s">
        <v>111</v>
      </c>
      <c r="G123" s="19" t="s">
        <v>112</v>
      </c>
      <c r="H123" s="19" t="s">
        <v>155</v>
      </c>
      <c r="L123" s="54">
        <v>1.612949</v>
      </c>
      <c r="M123" s="55">
        <v>6.451797</v>
      </c>
      <c r="N123" s="55">
        <v>32.258980000000001</v>
      </c>
      <c r="O123" s="56">
        <v>33.871929999999999</v>
      </c>
      <c r="S123" s="19">
        <v>1.31</v>
      </c>
      <c r="T123" s="19">
        <v>5.23</v>
      </c>
      <c r="U123" s="19">
        <v>26.17</v>
      </c>
      <c r="V123" s="19">
        <v>26.17</v>
      </c>
      <c r="Z123" s="19">
        <f t="shared" si="15"/>
        <v>1.2036324786324788</v>
      </c>
      <c r="AA123" s="19">
        <f t="shared" si="16"/>
        <v>4.8053418803418806</v>
      </c>
      <c r="AB123" s="19">
        <f t="shared" si="17"/>
        <v>24.045085470085471</v>
      </c>
      <c r="AC123" s="19">
        <f t="shared" si="18"/>
        <v>24.045085470085471</v>
      </c>
      <c r="AG123" s="19">
        <f t="shared" si="19"/>
        <v>1.6626923076923077</v>
      </c>
      <c r="AH123" s="19">
        <f t="shared" si="20"/>
        <v>6.6380769230769241</v>
      </c>
      <c r="AI123" s="19">
        <f t="shared" si="21"/>
        <v>33.215769230769233</v>
      </c>
      <c r="AJ123" s="19">
        <f t="shared" si="22"/>
        <v>33.215769230769233</v>
      </c>
      <c r="AN123" s="19">
        <f t="shared" si="23"/>
        <v>1.4263107759562494</v>
      </c>
      <c r="AO123" s="19">
        <f t="shared" si="24"/>
        <v>5.694355235306249</v>
      </c>
      <c r="AP123" s="19">
        <f t="shared" si="25"/>
        <v>28.493551913568741</v>
      </c>
      <c r="AQ123" s="19">
        <f t="shared" si="26"/>
        <v>28.493551913568741</v>
      </c>
    </row>
    <row r="124" spans="1:43" x14ac:dyDescent="0.45">
      <c r="A124" s="21">
        <v>1993</v>
      </c>
      <c r="B124" s="41">
        <v>2.3082281259749995</v>
      </c>
      <c r="C124" s="41">
        <v>9.232912503899998</v>
      </c>
      <c r="D124" s="41">
        <v>46.164562519499988</v>
      </c>
      <c r="E124" s="43">
        <v>46.164562519499988</v>
      </c>
      <c r="F124" s="19" t="s">
        <v>111</v>
      </c>
      <c r="G124" s="19" t="s">
        <v>156</v>
      </c>
      <c r="H124" s="19" t="s">
        <v>154</v>
      </c>
      <c r="L124" s="54">
        <v>2.6135220000000001</v>
      </c>
      <c r="M124" s="55">
        <v>10.454090000000001</v>
      </c>
      <c r="N124" s="55">
        <v>52.270449999999997</v>
      </c>
      <c r="O124" s="56">
        <v>54.883969999999998</v>
      </c>
      <c r="S124" s="19">
        <v>2.12</v>
      </c>
      <c r="T124" s="19">
        <v>8.48</v>
      </c>
      <c r="U124" s="19">
        <v>42.4</v>
      </c>
      <c r="V124" s="19">
        <v>42.4</v>
      </c>
      <c r="Z124" s="19">
        <f t="shared" si="15"/>
        <v>1.9478632478632478</v>
      </c>
      <c r="AA124" s="19">
        <f t="shared" si="16"/>
        <v>7.7914529914529913</v>
      </c>
      <c r="AB124" s="19">
        <f t="shared" si="17"/>
        <v>38.957264957264954</v>
      </c>
      <c r="AC124" s="19">
        <f t="shared" si="18"/>
        <v>38.957264957264954</v>
      </c>
      <c r="AG124" s="19">
        <f t="shared" si="19"/>
        <v>2.6907692307692308</v>
      </c>
      <c r="AH124" s="19">
        <f t="shared" si="20"/>
        <v>10.763076923076923</v>
      </c>
      <c r="AI124" s="19">
        <f t="shared" si="21"/>
        <v>53.815384615384609</v>
      </c>
      <c r="AJ124" s="19">
        <f t="shared" si="22"/>
        <v>53.815384615384609</v>
      </c>
      <c r="AN124" s="19">
        <f t="shared" si="23"/>
        <v>2.3082281259749995</v>
      </c>
      <c r="AO124" s="19">
        <f t="shared" si="24"/>
        <v>9.232912503899998</v>
      </c>
      <c r="AP124" s="19">
        <f t="shared" si="25"/>
        <v>46.164562519499988</v>
      </c>
      <c r="AQ124" s="19">
        <f t="shared" si="26"/>
        <v>46.164562519499988</v>
      </c>
    </row>
    <row r="125" spans="1:43" x14ac:dyDescent="0.45">
      <c r="A125" s="21">
        <v>1995</v>
      </c>
      <c r="B125" s="41">
        <v>0.82747800742499966</v>
      </c>
      <c r="C125" s="41">
        <v>3.3099120296999986</v>
      </c>
      <c r="D125" s="41">
        <v>16.560448017018746</v>
      </c>
      <c r="E125" s="43">
        <v>16.560448017018746</v>
      </c>
      <c r="F125" s="19" t="s">
        <v>111</v>
      </c>
      <c r="G125" s="19" t="s">
        <v>157</v>
      </c>
      <c r="H125" s="19" t="s">
        <v>154</v>
      </c>
      <c r="L125" s="54">
        <v>0.93766349999999998</v>
      </c>
      <c r="M125" s="55">
        <v>3.7506539999999999</v>
      </c>
      <c r="N125" s="55">
        <v>18.753270000000001</v>
      </c>
      <c r="O125" s="56">
        <v>19.690930000000002</v>
      </c>
      <c r="S125" s="19">
        <v>0.76</v>
      </c>
      <c r="T125" s="19">
        <v>3.04</v>
      </c>
      <c r="U125" s="19">
        <v>15.21</v>
      </c>
      <c r="V125" s="19">
        <v>15.21</v>
      </c>
      <c r="Z125" s="19">
        <f t="shared" si="15"/>
        <v>0.69829059829059836</v>
      </c>
      <c r="AA125" s="19">
        <f t="shared" si="16"/>
        <v>2.7931623931623935</v>
      </c>
      <c r="AB125" s="19">
        <f t="shared" si="17"/>
        <v>13.975</v>
      </c>
      <c r="AC125" s="19">
        <f t="shared" si="18"/>
        <v>13.975</v>
      </c>
      <c r="AG125" s="19">
        <f t="shared" si="19"/>
        <v>0.96461538461538465</v>
      </c>
      <c r="AH125" s="19">
        <f t="shared" si="20"/>
        <v>3.8584615384615386</v>
      </c>
      <c r="AI125" s="19">
        <f t="shared" si="21"/>
        <v>19.305</v>
      </c>
      <c r="AJ125" s="19">
        <f t="shared" si="22"/>
        <v>19.305</v>
      </c>
      <c r="AN125" s="19">
        <f t="shared" si="23"/>
        <v>0.82747800742499966</v>
      </c>
      <c r="AO125" s="19">
        <f t="shared" si="24"/>
        <v>3.3099120296999986</v>
      </c>
      <c r="AP125" s="19">
        <f t="shared" si="25"/>
        <v>16.560448017018746</v>
      </c>
      <c r="AQ125" s="19">
        <f t="shared" si="26"/>
        <v>16.560448017018746</v>
      </c>
    </row>
    <row r="126" spans="1:43" x14ac:dyDescent="0.45">
      <c r="A126" s="21">
        <v>1996</v>
      </c>
      <c r="B126" s="41">
        <v>5.4439342593749981E-2</v>
      </c>
      <c r="C126" s="41">
        <v>0.23953310741249992</v>
      </c>
      <c r="D126" s="41">
        <v>1.1867776685437497</v>
      </c>
      <c r="E126" s="43">
        <v>1.1867776685437497</v>
      </c>
      <c r="F126" s="19" t="s">
        <v>111</v>
      </c>
      <c r="G126" s="19" t="s">
        <v>158</v>
      </c>
      <c r="H126" s="19" t="s">
        <v>30</v>
      </c>
      <c r="L126" s="54">
        <v>6.715235E-2</v>
      </c>
      <c r="M126" s="55">
        <v>0.2686094</v>
      </c>
      <c r="N126" s="55">
        <v>1.3430470000000001</v>
      </c>
      <c r="O126" s="56">
        <v>1.410199</v>
      </c>
      <c r="S126" s="19">
        <v>0.05</v>
      </c>
      <c r="T126" s="19">
        <v>0.22</v>
      </c>
      <c r="U126" s="19">
        <v>1.0900000000000001</v>
      </c>
      <c r="V126" s="19">
        <v>1.0900000000000001</v>
      </c>
      <c r="Z126" s="19">
        <f t="shared" si="15"/>
        <v>4.5940170940170943E-2</v>
      </c>
      <c r="AA126" s="19">
        <f t="shared" si="16"/>
        <v>0.20213675213675211</v>
      </c>
      <c r="AB126" s="19">
        <f t="shared" si="17"/>
        <v>1.0014957264957265</v>
      </c>
      <c r="AC126" s="19">
        <f t="shared" si="18"/>
        <v>1.0014957264957265</v>
      </c>
      <c r="AG126" s="19">
        <f t="shared" si="19"/>
        <v>6.3461538461538472E-2</v>
      </c>
      <c r="AH126" s="19">
        <f t="shared" si="20"/>
        <v>0.27923076923076923</v>
      </c>
      <c r="AI126" s="19">
        <f t="shared" si="21"/>
        <v>1.3834615384615385</v>
      </c>
      <c r="AJ126" s="19">
        <f t="shared" si="22"/>
        <v>1.3834615384615385</v>
      </c>
      <c r="AN126" s="19">
        <f t="shared" si="23"/>
        <v>5.4439342593749981E-2</v>
      </c>
      <c r="AO126" s="19">
        <f t="shared" si="24"/>
        <v>0.23953310741249992</v>
      </c>
      <c r="AP126" s="19">
        <f t="shared" si="25"/>
        <v>1.1867776685437497</v>
      </c>
      <c r="AQ126" s="19">
        <f t="shared" si="26"/>
        <v>1.1867776685437497</v>
      </c>
    </row>
    <row r="127" spans="1:43" x14ac:dyDescent="0.45">
      <c r="A127" s="21">
        <v>1998</v>
      </c>
      <c r="B127" s="41">
        <v>11.497589155799995</v>
      </c>
      <c r="C127" s="41">
        <v>40.252449913818737</v>
      </c>
      <c r="D127" s="41">
        <v>114.99766729503747</v>
      </c>
      <c r="E127" s="43">
        <v>114.99766729503747</v>
      </c>
      <c r="F127" s="19" t="s">
        <v>113</v>
      </c>
      <c r="G127" s="19" t="s">
        <v>159</v>
      </c>
      <c r="H127" s="19" t="s">
        <v>30</v>
      </c>
      <c r="L127" s="54">
        <v>13.02088</v>
      </c>
      <c r="M127" s="55">
        <v>45.573079999999997</v>
      </c>
      <c r="N127" s="55">
        <v>130.2088</v>
      </c>
      <c r="O127" s="56">
        <v>136.7192</v>
      </c>
      <c r="S127" s="19">
        <v>10.56</v>
      </c>
      <c r="T127" s="19">
        <v>36.97</v>
      </c>
      <c r="U127" s="19">
        <v>105.62</v>
      </c>
      <c r="V127" s="19">
        <v>105.62</v>
      </c>
      <c r="Z127" s="19">
        <f t="shared" si="15"/>
        <v>9.7025641025641036</v>
      </c>
      <c r="AA127" s="19">
        <f t="shared" si="16"/>
        <v>33.968162393162395</v>
      </c>
      <c r="AB127" s="19">
        <f t="shared" si="17"/>
        <v>97.044017094017093</v>
      </c>
      <c r="AC127" s="19">
        <f t="shared" si="18"/>
        <v>97.044017094017093</v>
      </c>
      <c r="AG127" s="19">
        <f t="shared" si="19"/>
        <v>13.403076923076924</v>
      </c>
      <c r="AH127" s="19">
        <f t="shared" si="20"/>
        <v>46.923461538461538</v>
      </c>
      <c r="AI127" s="19">
        <f t="shared" si="21"/>
        <v>134.05615384615385</v>
      </c>
      <c r="AJ127" s="19">
        <f t="shared" si="22"/>
        <v>134.05615384615385</v>
      </c>
      <c r="AN127" s="19">
        <f t="shared" si="23"/>
        <v>11.497589155799995</v>
      </c>
      <c r="AO127" s="19">
        <f t="shared" si="24"/>
        <v>40.252449913818737</v>
      </c>
      <c r="AP127" s="19">
        <f t="shared" si="25"/>
        <v>114.99766729503747</v>
      </c>
      <c r="AQ127" s="19">
        <f t="shared" si="26"/>
        <v>114.99766729503747</v>
      </c>
    </row>
    <row r="128" spans="1:43" x14ac:dyDescent="0.45">
      <c r="A128" s="21">
        <v>2001</v>
      </c>
      <c r="B128" s="41">
        <v>0.74037505927499991</v>
      </c>
      <c r="C128" s="41">
        <v>2.6022005759812492</v>
      </c>
      <c r="D128" s="41">
        <v>7.4473020668249976</v>
      </c>
      <c r="E128" s="43">
        <v>7.4473020668249976</v>
      </c>
      <c r="F128" s="19" t="s">
        <v>117</v>
      </c>
      <c r="G128" s="19" t="s">
        <v>160</v>
      </c>
      <c r="H128" s="19" t="s">
        <v>30</v>
      </c>
      <c r="L128" s="54">
        <v>0.84277539999999995</v>
      </c>
      <c r="M128" s="55">
        <v>2.9497140000000002</v>
      </c>
      <c r="N128" s="55">
        <v>8.4277540000000002</v>
      </c>
      <c r="O128" s="56">
        <v>8.8491420000000005</v>
      </c>
      <c r="S128" s="19">
        <v>0.68</v>
      </c>
      <c r="T128" s="19">
        <v>2.39</v>
      </c>
      <c r="U128" s="19">
        <v>6.84</v>
      </c>
      <c r="V128" s="19">
        <v>6.84</v>
      </c>
      <c r="Z128" s="19">
        <f t="shared" si="15"/>
        <v>0.6247863247863249</v>
      </c>
      <c r="AA128" s="19">
        <f t="shared" si="16"/>
        <v>2.1959401709401711</v>
      </c>
      <c r="AB128" s="19">
        <f t="shared" si="17"/>
        <v>6.2846153846153845</v>
      </c>
      <c r="AC128" s="19">
        <f t="shared" si="18"/>
        <v>6.2846153846153845</v>
      </c>
      <c r="AG128" s="19">
        <f t="shared" si="19"/>
        <v>0.86307692307692307</v>
      </c>
      <c r="AH128" s="19">
        <f t="shared" si="20"/>
        <v>3.0334615384615384</v>
      </c>
      <c r="AI128" s="19">
        <f t="shared" si="21"/>
        <v>8.6815384615384623</v>
      </c>
      <c r="AJ128" s="19">
        <f t="shared" si="22"/>
        <v>8.6815384615384623</v>
      </c>
      <c r="AN128" s="19">
        <f t="shared" si="23"/>
        <v>0.74037505927499991</v>
      </c>
      <c r="AO128" s="19">
        <f t="shared" si="24"/>
        <v>2.6022005759812492</v>
      </c>
      <c r="AP128" s="19">
        <f t="shared" si="25"/>
        <v>7.4473020668249976</v>
      </c>
      <c r="AQ128" s="19">
        <f t="shared" si="26"/>
        <v>7.4473020668249976</v>
      </c>
    </row>
    <row r="129" spans="1:43" ht="14.65" thickBot="1" x14ac:dyDescent="0.5">
      <c r="A129" s="23">
        <v>2002</v>
      </c>
      <c r="B129" s="44">
        <v>3.7236510334124988</v>
      </c>
      <c r="C129" s="44">
        <v>13.021890748424994</v>
      </c>
      <c r="D129" s="44">
        <v>37.214734597087492</v>
      </c>
      <c r="E129" s="45">
        <v>37.214734597087492</v>
      </c>
      <c r="F129" s="24" t="s">
        <v>117</v>
      </c>
      <c r="G129" s="24" t="s">
        <v>161</v>
      </c>
      <c r="H129" s="24" t="s">
        <v>30</v>
      </c>
      <c r="L129" s="57">
        <v>4.2138770000000001</v>
      </c>
      <c r="M129" s="58">
        <v>14.748570000000001</v>
      </c>
      <c r="N129" s="58">
        <v>42.138770000000001</v>
      </c>
      <c r="O129" s="59">
        <v>44.245710000000003</v>
      </c>
      <c r="S129" s="19">
        <v>3.42</v>
      </c>
      <c r="T129" s="19">
        <v>11.96</v>
      </c>
      <c r="U129" s="19">
        <v>34.18</v>
      </c>
      <c r="V129" s="19">
        <v>34.18</v>
      </c>
      <c r="Z129" s="19">
        <f t="shared" si="15"/>
        <v>3.1423076923076922</v>
      </c>
      <c r="AA129" s="19">
        <f t="shared" si="16"/>
        <v>10.988888888888889</v>
      </c>
      <c r="AB129" s="19">
        <f t="shared" si="17"/>
        <v>31.404700854700852</v>
      </c>
      <c r="AC129" s="19">
        <f t="shared" si="18"/>
        <v>31.404700854700852</v>
      </c>
      <c r="AG129" s="19">
        <f t="shared" si="19"/>
        <v>4.3407692307692312</v>
      </c>
      <c r="AH129" s="19">
        <f t="shared" si="20"/>
        <v>15.180000000000001</v>
      </c>
      <c r="AI129" s="19">
        <f t="shared" si="21"/>
        <v>43.382307692307691</v>
      </c>
      <c r="AJ129" s="19">
        <f t="shared" si="22"/>
        <v>43.382307692307691</v>
      </c>
      <c r="AN129" s="19">
        <f t="shared" si="23"/>
        <v>3.7236510334124988</v>
      </c>
      <c r="AO129" s="19">
        <f t="shared" si="24"/>
        <v>13.021890748424994</v>
      </c>
      <c r="AP129" s="19">
        <f t="shared" si="25"/>
        <v>37.214734597087492</v>
      </c>
      <c r="AQ129" s="19">
        <f t="shared" si="26"/>
        <v>37.214734597087492</v>
      </c>
    </row>
  </sheetData>
  <mergeCells count="5">
    <mergeCell ref="J4:J22"/>
    <mergeCell ref="Q4:Q22"/>
    <mergeCell ref="X4:X22"/>
    <mergeCell ref="AE4:AE22"/>
    <mergeCell ref="AL4:AL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2016">
                <anchor moveWithCells="1" sizeWithCells="1">
                  <from>
                    <xdr:col>9</xdr:col>
                    <xdr:colOff>328613</xdr:colOff>
                    <xdr:row>16</xdr:row>
                    <xdr:rowOff>19050</xdr:rowOff>
                  </from>
                  <to>
                    <xdr:col>9</xdr:col>
                    <xdr:colOff>2066925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Button2014_PDS_Cost_Model_values">
                <anchor moveWithCells="1" sizeWithCells="1">
                  <from>
                    <xdr:col>16</xdr:col>
                    <xdr:colOff>295275</xdr:colOff>
                    <xdr:row>15</xdr:row>
                    <xdr:rowOff>171450</xdr:rowOff>
                  </from>
                  <to>
                    <xdr:col>16</xdr:col>
                    <xdr:colOff>2033588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Button2013_TPI_deflated">
                <anchor moveWithCells="1" sizeWithCells="1">
                  <from>
                    <xdr:col>23</xdr:col>
                    <xdr:colOff>328613</xdr:colOff>
                    <xdr:row>15</xdr:row>
                    <xdr:rowOff>152400</xdr:rowOff>
                  </from>
                  <to>
                    <xdr:col>23</xdr:col>
                    <xdr:colOff>2066925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Button2018_TPI_inflated">
                <anchor moveWithCells="1" sizeWithCells="1">
                  <from>
                    <xdr:col>30</xdr:col>
                    <xdr:colOff>300038</xdr:colOff>
                    <xdr:row>15</xdr:row>
                    <xdr:rowOff>123825</xdr:rowOff>
                  </from>
                  <to>
                    <xdr:col>30</xdr:col>
                    <xdr:colOff>2038350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Button208_BMI_inflated">
                <anchor moveWithCells="1" sizeWithCells="1">
                  <from>
                    <xdr:col>37</xdr:col>
                    <xdr:colOff>309563</xdr:colOff>
                    <xdr:row>15</xdr:row>
                    <xdr:rowOff>138113</xdr:rowOff>
                  </from>
                  <to>
                    <xdr:col>37</xdr:col>
                    <xdr:colOff>2047875</xdr:colOff>
                    <xdr:row>20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h5181134883947a99a38d116ffff0102 xmlns="c21bc523-8d78-4fa7-b5e0-0c9edf245b77">
      <Terms xmlns="http://schemas.microsoft.com/office/infopath/2007/PartnerControls">
        <TermInfo xmlns="http://schemas.microsoft.com/office/infopath/2007/PartnerControls">
          <TermName xmlns="http://schemas.microsoft.com/office/infopath/2007/PartnerControls">ESFA</TermName>
          <TermId xmlns="http://schemas.microsoft.com/office/infopath/2007/PartnerControls">4a323c2c-9aef-47e8-b09b-131faf9bac1c</TermId>
        </TermInfo>
      </Terms>
    </h5181134883947a99a38d116ffff0102>
    <h5181134883947a99a38d116ffff0006 xmlns="c21bc523-8d78-4fa7-b5e0-0c9edf245b77">
      <Terms xmlns="http://schemas.microsoft.com/office/infopath/2007/PartnerControls"/>
    </h5181134883947a99a38d116ffff0006>
    <k0fa7a8d76e84aaea9d4b7ccbba61ab0 xmlns="73f0fe93-a0ee-40f7-8eca-c32aa7724679">
      <Terms xmlns="http://schemas.microsoft.com/office/infopath/2007/PartnerControls"/>
    </k0fa7a8d76e84aaea9d4b7ccbba61ab0>
    <d24f8d1f833b46f1946c259fe9544203 xmlns="73f0fe93-a0ee-40f7-8eca-c32aa7724679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Official</TermName>
          <TermId xmlns="http://schemas.microsoft.com/office/infopath/2007/PartnerControls">0884c477-2e62-47ea-b19c-5af6e91124c5</TermId>
        </TermInfo>
      </Terms>
    </d24f8d1f833b46f1946c259fe9544203>
    <h534c3c2c6ef414589f4c93e5faee7d8 xmlns="73f0fe93-a0ee-40f7-8eca-c32aa7724679">
      <Terms xmlns="http://schemas.microsoft.com/office/infopath/2007/PartnerControls">
        <TermInfo xmlns="http://schemas.microsoft.com/office/infopath/2007/PartnerControls">
          <TermName xmlns="http://schemas.microsoft.com/office/infopath/2007/PartnerControls">EFA</TermName>
          <TermId xmlns="http://schemas.microsoft.com/office/infopath/2007/PartnerControls">f55057f6-e680-4dd8-a168-9494a8b9b0ae</TermId>
        </TermInfo>
      </Terms>
    </h534c3c2c6ef414589f4c93e5faee7d8>
    <_dlc_DocId xmlns="73f0fe93-a0ee-40f7-8eca-c32aa7724679">TXETKDDE3KEP-4-41068</_dlc_DocId>
    <IWPContributor xmlns="b4561e75-76c2-4128-8be3-477f7c27dac4">
      <UserInfo>
        <DisplayName/>
        <AccountId xsi:nil="true"/>
        <AccountType/>
      </UserInfo>
    </IWPContributor>
    <a24d9c99e6f541498e4902964e83fa13 xmlns="73f0fe93-a0ee-40f7-8eca-c32aa7724679">
      <Terms xmlns="http://schemas.microsoft.com/office/infopath/2007/PartnerControls"/>
    </a24d9c99e6f541498e4902964e83fa13>
    <_dlc_DocIdUrl xmlns="73f0fe93-a0ee-40f7-8eca-c32aa7724679">
      <Url>https://educationgovuk.sharepoint.com/sites/efacam/_layouts/15/DocIdRedir.aspx?ID=TXETKDDE3KEP-4-41068</Url>
      <Description>TXETKDDE3KEP-4-41068</Description>
    </_dlc_DocIdUrl>
    <TaxCatchAll xmlns="73f0fe93-a0ee-40f7-8eca-c32aa7724679">
      <Value>3</Value>
      <Value>2</Value>
      <Value>1</Value>
    </TaxCatchAll>
    <Comment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Unmanaged Document" ma:contentTypeID="0x010100E41E61D2E0BF4740A28082345A21FF541000A106CBAAEA66F94D82225AA42F61BD34" ma:contentTypeVersion="43" ma:contentTypeDescription="For working documents that do not need to be declared as records.  Will be deleted two years after last modified date." ma:contentTypeScope="" ma:versionID="898b0204f1325ddaa2a192726dfa3660">
  <xsd:schema xmlns:xsd="http://www.w3.org/2001/XMLSchema" xmlns:xs="http://www.w3.org/2001/XMLSchema" xmlns:p="http://schemas.microsoft.com/office/2006/metadata/properties" xmlns:ns1="http://schemas.microsoft.com/sharepoint/v3" xmlns:ns2="73f0fe93-a0ee-40f7-8eca-c32aa7724679" xmlns:ns3="b4561e75-76c2-4128-8be3-477f7c27dac4" xmlns:ns4="c21bc523-8d78-4fa7-b5e0-0c9edf245b77" targetNamespace="http://schemas.microsoft.com/office/2006/metadata/properties" ma:root="true" ma:fieldsID="6ed32bc9fae0c8ee807746d38b7b2996" ns1:_="" ns2:_="" ns3:_="" ns4:_="">
    <xsd:import namespace="http://schemas.microsoft.com/sharepoint/v3"/>
    <xsd:import namespace="73f0fe93-a0ee-40f7-8eca-c32aa7724679"/>
    <xsd:import namespace="b4561e75-76c2-4128-8be3-477f7c27dac4"/>
    <xsd:import namespace="c21bc523-8d78-4fa7-b5e0-0c9edf245b77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Comments" minOccurs="0"/>
                <xsd:element ref="ns2:TaxCatchAll" minOccurs="0"/>
                <xsd:element ref="ns2:TaxCatchAllLabel" minOccurs="0"/>
                <xsd:element ref="ns1:_vti_ItemDeclaredRecord" minOccurs="0"/>
                <xsd:element ref="ns2:a24d9c99e6f541498e4902964e83fa13" minOccurs="0"/>
                <xsd:element ref="ns2:d24f8d1f833b46f1946c259fe9544203" minOccurs="0"/>
                <xsd:element ref="ns2:k0fa7a8d76e84aaea9d4b7ccbba61ab0" minOccurs="0"/>
                <xsd:element ref="ns2:h534c3c2c6ef414589f4c93e5faee7d8" minOccurs="0"/>
                <xsd:element ref="ns3:IWPContributor" minOccurs="0"/>
                <xsd:element ref="ns4:h5181134883947a99a38d116ffff0102" minOccurs="0"/>
                <xsd:element ref="ns4:h5181134883947a99a38d116ffff0006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omments" ma:index="11" nillable="true" ma:displayName="Description" ma:hidden="true" ma:internalName="Comments" ma:readOnly="false">
      <xsd:simpleType>
        <xsd:restriction base="dms:Note"/>
      </xsd:simpleType>
    </xsd:element>
    <xsd:element name="_vti_ItemDeclaredRecord" ma:index="18" nillable="true" ma:displayName="Declared Record" ma:description="" ma:hidden="true" ma:indexed="true" ma:internalName="_vti_ItemDeclaredRecord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f0fe93-a0ee-40f7-8eca-c32aa772467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fals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5" nillable="true" ma:displayName="Taxonomy Catch All Column" ma:description="" ma:hidden="true" ma:list="{c072b44c-d335-449c-91bc-4ff6a0206934}" ma:internalName="TaxCatchAll" ma:readOnly="false" ma:showField="CatchAllData" ma:web="73f0fe93-a0ee-40f7-8eca-c32aa77246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6" nillable="true" ma:displayName="Taxonomy Catch All Column1" ma:description="" ma:list="{c072b44c-d335-449c-91bc-4ff6a0206934}" ma:internalName="TaxCatchAllLabel" ma:readOnly="true" ma:showField="CatchAllDataLabel" ma:web="73f0fe93-a0ee-40f7-8eca-c32aa77246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24d9c99e6f541498e4902964e83fa13" ma:index="22" nillable="true" ma:taxonomy="true" ma:internalName="a24d9c99e6f541498e4902964e83fa13" ma:taxonomyFieldName="IWPFunction" ma:displayName="Function" ma:readOnly="false" ma:fieldId="{a24d9c99-e6f5-4149-8e49-02964e83fa13}" ma:taxonomyMulti="true" ma:sspId="ec07c698-60f5-424f-b9af-f4c59398b511" ma:termSetId="d25a8a8b-cc76-477b-9c8b-292b0e01012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24f8d1f833b46f1946c259fe9544203" ma:index="23" ma:taxonomy="true" ma:internalName="d24f8d1f833b46f1946c259fe9544203" ma:taxonomyFieldName="IWPRightsProtectiveMarking" ma:displayName="Rights: Protective Marking" ma:readOnly="false" ma:default="1;#Official|0884c477-2e62-47ea-b19c-5af6e91124c5" ma:fieldId="{d24f8d1f-833b-46f1-946c-259fe9544203}" ma:sspId="ec07c698-60f5-424f-b9af-f4c59398b511" ma:termSetId="7870c18b-dc34-46a1-adf5-a571f0cac88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k0fa7a8d76e84aaea9d4b7ccbba61ab0" ma:index="24" nillable="true" ma:taxonomy="true" ma:internalName="k0fa7a8d76e84aaea9d4b7ccbba61ab0" ma:taxonomyFieldName="IWPSiteType" ma:displayName="Site Type" ma:readOnly="false" ma:fieldId="{40fa7a8d-76e8-4aae-a9d4-b7ccbba61ab0}" ma:sspId="ec07c698-60f5-424f-b9af-f4c59398b511" ma:termSetId="68f3bd98-4d9d-4839-831a-d4827606df7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534c3c2c6ef414589f4c93e5faee7d8" ma:index="25" ma:taxonomy="true" ma:internalName="h534c3c2c6ef414589f4c93e5faee7d8" ma:taxonomyFieldName="IWPOrganisationalUnit" ma:displayName="Organisational Unit" ma:readOnly="false" ma:default="2;#EFA|f55057f6-e680-4dd8-a168-9494a8b9b0ae" ma:fieldId="{1534c3c2-c6ef-4145-89f4-c93e5faee7d8}" ma:sspId="ec07c698-60f5-424f-b9af-f4c59398b511" ma:termSetId="b3e263f6-0ab6-425a-b3de-0e67f2faf76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61e75-76c2-4128-8be3-477f7c27dac4" elementFormDefault="qualified">
    <xsd:import namespace="http://schemas.microsoft.com/office/2006/documentManagement/types"/>
    <xsd:import namespace="http://schemas.microsoft.com/office/infopath/2007/PartnerControls"/>
    <xsd:element name="IWPContributor" ma:index="26" nillable="true" ma:displayName="Contributor" ma:list="UserInfo" ma:SharePointGroup="0" ma:internalName="IWPContributor" ma:readOnly="fals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1bc523-8d78-4fa7-b5e0-0c9edf245b77" elementFormDefault="qualified">
    <xsd:import namespace="http://schemas.microsoft.com/office/2006/documentManagement/types"/>
    <xsd:import namespace="http://schemas.microsoft.com/office/infopath/2007/PartnerControls"/>
    <xsd:element name="h5181134883947a99a38d116ffff0102" ma:index="27" ma:taxonomy="true" ma:internalName="h5181134883947a99a38d116ffff0102" ma:taxonomyFieldName="IWPOwner" ma:displayName="Owner" ma:readOnly="false" ma:default="3;#EFA|4a323c2c-9aef-47e8-b09b-131faf9bac1c" ma:fieldId="{15181134-8839-47a9-9a38-d116ffff0102}" ma:sspId="ec07c698-60f5-424f-b9af-f4c59398b511" ma:termSetId="12161dbb-b36f-4439-aef1-21e7cc92280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5181134883947a99a38d116ffff0006" ma:index="29" nillable="true" ma:taxonomy="true" ma:internalName="h5181134883947a99a38d116ffff0006" ma:taxonomyFieldName="IWPSubject" ma:displayName="Subject" ma:readOnly="false" ma:fieldId="{15181134-8839-47a9-9a38-d116ffff0006}" ma:sspId="ec07c698-60f5-424f-b9af-f4c59398b511" ma:termSetId="33432453-e88c-4baa-94a6-467fc4fc06f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Props1.xml><?xml version="1.0" encoding="utf-8"?>
<ds:datastoreItem xmlns:ds="http://schemas.openxmlformats.org/officeDocument/2006/customXml" ds:itemID="{1AE30120-9A5B-44A9-B296-859D24E8ACC1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73f0fe93-a0ee-40f7-8eca-c32aa7724679"/>
    <ds:schemaRef ds:uri="http://schemas.microsoft.com/office/infopath/2007/PartnerControls"/>
    <ds:schemaRef ds:uri="b4561e75-76c2-4128-8be3-477f7c27dac4"/>
    <ds:schemaRef ds:uri="c21bc523-8d78-4fa7-b5e0-0c9edf245b77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664D994-57DF-48FC-8A51-FEA6541399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3f0fe93-a0ee-40f7-8eca-c32aa7724679"/>
    <ds:schemaRef ds:uri="b4561e75-76c2-4128-8be3-477f7c27dac4"/>
    <ds:schemaRef ds:uri="c21bc523-8d78-4fa7-b5e0-0c9edf245b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F3422A9-F700-4B34-9910-44CC6ED56DDA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92B820AC-69C3-4C8B-B7AF-C037FA387DC6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544C830C-A255-4CA0-8DDC-E85FF20CB99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Instructions</vt:lpstr>
      <vt:lpstr>Model</vt:lpstr>
      <vt:lpstr>Inputs</vt:lpstr>
      <vt:lpstr>Deterioration rates</vt:lpstr>
      <vt:lpstr>Repair costs</vt:lpstr>
      <vt:lpstr>TextBox_output</vt:lpstr>
    </vt:vector>
  </TitlesOfParts>
  <Company>DfE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Deterioration model launcher for Lead Option scenario</dc:title>
  <dc:creator>CURTIS, Peter</dc:creator>
  <cp:lastModifiedBy>CURTIS, Peter</cp:lastModifiedBy>
  <dcterms:created xsi:type="dcterms:W3CDTF">2018-03-22T13:25:49Z</dcterms:created>
  <dcterms:modified xsi:type="dcterms:W3CDTF">2018-11-06T14:49:23Z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0x010100E41E61D2E0BF4740A28082345A21FF541000A106CBAAEA66F94D82225AA42F61BD34</vt:lpwstr>
  </property>
  <property fmtid="{D5CDD505-2E9C-101B-9397-08002B2CF9AE}" pid="3" name="_dlc_DocIdItemGuid">
    <vt:lpwstr>2eb022ff-3b4c-48e8-90cc-59ad6d64af3d</vt:lpwstr>
  </property>
  <property fmtid="{D5CDD505-2E9C-101B-9397-08002B2CF9AE}" pid="4" name="IWPOrganisationalUnit">
    <vt:lpwstr>2;#EFA|f55057f6-e680-4dd8-a168-9494a8b9b0ae</vt:lpwstr>
  </property>
  <property fmtid="{D5CDD505-2E9C-101B-9397-08002B2CF9AE}" pid="5" name="IWPOwner">
    <vt:lpwstr>3;#ESFA|4a323c2c-9aef-47e8-b09b-131faf9bac1c</vt:lpwstr>
  </property>
  <property fmtid="{D5CDD505-2E9C-101B-9397-08002B2CF9AE}" pid="6" name="IWPFunction">
    <vt:lpwstr/>
  </property>
  <property fmtid="{D5CDD505-2E9C-101B-9397-08002B2CF9AE}" pid="7" name="IWPSiteType">
    <vt:lpwstr/>
  </property>
  <property fmtid="{D5CDD505-2E9C-101B-9397-08002B2CF9AE}" pid="8" name="IWPRightsProtectiveMarking">
    <vt:lpwstr>1;#Official|0884c477-2e62-47ea-b19c-5af6e91124c5</vt:lpwstr>
  </property>
  <property fmtid="{D5CDD505-2E9C-101B-9397-08002B2CF9AE}" pid="9" name="IWPSubject">
    <vt:lpwstr/>
  </property>
</Properties>
</file>